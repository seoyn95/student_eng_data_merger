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o Yeon\OneDrive\바탕 화면\피드백 파일 모음\"/>
    </mc:Choice>
  </mc:AlternateContent>
  <xr:revisionPtr revIDLastSave="0" documentId="13_ncr:1_{0380BE10-7892-4073-A9DF-CC860D80E9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한서연" sheetId="3" r:id="rId1"/>
    <sheet name="두서연" sheetId="5" r:id="rId2"/>
    <sheet name="세서연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6" l="1"/>
  <c r="M18" i="6"/>
  <c r="L18" i="6"/>
  <c r="N18" i="6" s="1"/>
  <c r="E8" i="6" s="1"/>
  <c r="G8" i="6" s="1"/>
  <c r="M17" i="6"/>
  <c r="N17" i="6" s="1"/>
  <c r="L17" i="6"/>
  <c r="D46" i="5"/>
  <c r="M18" i="5"/>
  <c r="N18" i="5" s="1"/>
  <c r="E8" i="5" s="1"/>
  <c r="G8" i="5" s="1"/>
  <c r="L18" i="5"/>
  <c r="M17" i="5"/>
  <c r="N17" i="5" s="1"/>
  <c r="L17" i="5"/>
  <c r="M18" i="3"/>
  <c r="M17" i="3"/>
  <c r="N20" i="6" l="1"/>
  <c r="A46" i="6" s="1"/>
  <c r="B8" i="6"/>
  <c r="N20" i="5"/>
  <c r="A46" i="5" s="1"/>
  <c r="B8" i="5"/>
  <c r="D46" i="3"/>
  <c r="L17" i="3"/>
  <c r="L18" i="3"/>
  <c r="N18" i="3" s="1"/>
  <c r="E8" i="3" s="1"/>
  <c r="G8" i="3" s="1"/>
  <c r="H8" i="6" l="1"/>
  <c r="C8" i="6"/>
  <c r="H8" i="5"/>
  <c r="C8" i="5"/>
  <c r="N17" i="3"/>
  <c r="B8" i="3" s="1"/>
  <c r="N20" i="3" l="1"/>
  <c r="A46" i="3" s="1"/>
  <c r="C8" i="3"/>
  <c r="H8" i="3"/>
</calcChain>
</file>

<file path=xl/sharedStrings.xml><?xml version="1.0" encoding="utf-8"?>
<sst xmlns="http://schemas.openxmlformats.org/spreadsheetml/2006/main" count="366" uniqueCount="68">
  <si>
    <t>총점</t>
    <phoneticPr fontId="1" type="noConversion"/>
  </si>
  <si>
    <t>등급</t>
    <phoneticPr fontId="1" type="noConversion"/>
  </si>
  <si>
    <t>성명</t>
    <phoneticPr fontId="1" type="noConversion"/>
  </si>
  <si>
    <t>반명</t>
    <phoneticPr fontId="1" type="noConversion"/>
  </si>
  <si>
    <t>만점</t>
    <phoneticPr fontId="1" type="noConversion"/>
  </si>
  <si>
    <t>100점</t>
    <phoneticPr fontId="1" type="noConversion"/>
  </si>
  <si>
    <t>본인점수</t>
    <phoneticPr fontId="1" type="noConversion"/>
  </si>
  <si>
    <t>문제유형별 분석</t>
    <phoneticPr fontId="1" type="noConversion"/>
  </si>
  <si>
    <t>총평</t>
    <phoneticPr fontId="1" type="noConversion"/>
  </si>
  <si>
    <t>문제번호</t>
    <phoneticPr fontId="1" type="noConversion"/>
  </si>
  <si>
    <t>문제유형</t>
    <phoneticPr fontId="1" type="noConversion"/>
  </si>
  <si>
    <t>정오여부</t>
    <phoneticPr fontId="1" type="noConversion"/>
  </si>
  <si>
    <t>듣기점수</t>
    <phoneticPr fontId="1" type="noConversion"/>
  </si>
  <si>
    <t>백분율</t>
    <phoneticPr fontId="1" type="noConversion"/>
  </si>
  <si>
    <t>독해점수</t>
    <phoneticPr fontId="1" type="noConversion"/>
  </si>
  <si>
    <t>O</t>
    <phoneticPr fontId="1" type="noConversion"/>
  </si>
  <si>
    <t>이유파악하기</t>
    <phoneticPr fontId="1" type="noConversion"/>
  </si>
  <si>
    <t>어휘추론</t>
    <phoneticPr fontId="1" type="noConversion"/>
  </si>
  <si>
    <t>요지파악</t>
    <phoneticPr fontId="1" type="noConversion"/>
  </si>
  <si>
    <t>응답고르기</t>
    <phoneticPr fontId="1" type="noConversion"/>
  </si>
  <si>
    <t>담화목적추론</t>
    <phoneticPr fontId="1" type="noConversion"/>
  </si>
  <si>
    <t>그림파악</t>
    <phoneticPr fontId="1" type="noConversion"/>
  </si>
  <si>
    <t>수치정보파악</t>
    <phoneticPr fontId="1" type="noConversion"/>
  </si>
  <si>
    <t>언급하지 않은내용</t>
    <phoneticPr fontId="1" type="noConversion"/>
  </si>
  <si>
    <t>요지</t>
    <phoneticPr fontId="1" type="noConversion"/>
  </si>
  <si>
    <t>주장</t>
    <phoneticPr fontId="1" type="noConversion"/>
  </si>
  <si>
    <t>주제</t>
    <phoneticPr fontId="1" type="noConversion"/>
  </si>
  <si>
    <t>제목</t>
    <phoneticPr fontId="1" type="noConversion"/>
  </si>
  <si>
    <t>문장삽입</t>
    <phoneticPr fontId="1" type="noConversion"/>
  </si>
  <si>
    <t>무관한문장</t>
    <phoneticPr fontId="1" type="noConversion"/>
  </si>
  <si>
    <t>실용문(내용일치)</t>
    <phoneticPr fontId="1" type="noConversion"/>
  </si>
  <si>
    <t>배점</t>
    <phoneticPr fontId="1" type="noConversion"/>
  </si>
  <si>
    <t>등급</t>
    <phoneticPr fontId="1" type="noConversion"/>
  </si>
  <si>
    <t>다중장문-순서</t>
    <phoneticPr fontId="1" type="noConversion"/>
  </si>
  <si>
    <t>다중장문-지칭</t>
    <phoneticPr fontId="1" type="noConversion"/>
  </si>
  <si>
    <t>다중장문-내용불일치</t>
    <phoneticPr fontId="1" type="noConversion"/>
  </si>
  <si>
    <t>목적</t>
    <phoneticPr fontId="1" type="noConversion"/>
  </si>
  <si>
    <t>심경분위기</t>
    <phoneticPr fontId="1" type="noConversion"/>
  </si>
  <si>
    <t>빈칸</t>
    <phoneticPr fontId="1" type="noConversion"/>
  </si>
  <si>
    <t>빈칸</t>
    <phoneticPr fontId="1" type="noConversion"/>
  </si>
  <si>
    <t>빈칸</t>
    <phoneticPr fontId="1" type="noConversion"/>
  </si>
  <si>
    <t>순서</t>
    <phoneticPr fontId="1" type="noConversion"/>
  </si>
  <si>
    <t>요약문</t>
    <phoneticPr fontId="1" type="noConversion"/>
  </si>
  <si>
    <t>단일장문-어휘</t>
    <phoneticPr fontId="1" type="noConversion"/>
  </si>
  <si>
    <t>총점</t>
    <phoneticPr fontId="1" type="noConversion"/>
  </si>
  <si>
    <t>본인점수</t>
    <phoneticPr fontId="1" type="noConversion"/>
  </si>
  <si>
    <t>틀린점수</t>
    <phoneticPr fontId="1" type="noConversion"/>
  </si>
  <si>
    <t>리스닝</t>
    <phoneticPr fontId="1" type="noConversion"/>
  </si>
  <si>
    <t>리딩</t>
    <phoneticPr fontId="1" type="noConversion"/>
  </si>
  <si>
    <t>결과</t>
    <phoneticPr fontId="1" type="noConversion"/>
  </si>
  <si>
    <t>점</t>
    <phoneticPr fontId="1" type="noConversion"/>
  </si>
  <si>
    <t>등급</t>
    <phoneticPr fontId="1" type="noConversion"/>
  </si>
  <si>
    <t>주제 추론</t>
    <phoneticPr fontId="1" type="noConversion"/>
  </si>
  <si>
    <t>함축 의미 추론</t>
  </si>
  <si>
    <t>도표불일치</t>
    <phoneticPr fontId="1" type="noConversion"/>
  </si>
  <si>
    <t>실용문(내용불일치)</t>
    <phoneticPr fontId="1" type="noConversion"/>
  </si>
  <si>
    <t>어법추론</t>
    <phoneticPr fontId="1" type="noConversion"/>
  </si>
  <si>
    <t>단일장문-제목</t>
    <phoneticPr fontId="1" type="noConversion"/>
  </si>
  <si>
    <t>일치하지 않은내용</t>
    <phoneticPr fontId="1" type="noConversion"/>
  </si>
  <si>
    <t>의견파악</t>
    <phoneticPr fontId="1" type="noConversion"/>
  </si>
  <si>
    <t>할일파악</t>
    <phoneticPr fontId="1" type="noConversion"/>
  </si>
  <si>
    <t>지불금액파악</t>
    <phoneticPr fontId="1" type="noConversion"/>
  </si>
  <si>
    <t>x</t>
    <phoneticPr fontId="1" type="noConversion"/>
  </si>
  <si>
    <t>월금B반</t>
    <phoneticPr fontId="1" type="noConversion"/>
  </si>
  <si>
    <t>올담에듀 2023년 6월 고1 모의고사 성적분석표</t>
    <phoneticPr fontId="1" type="noConversion"/>
  </si>
  <si>
    <t>세서연</t>
    <phoneticPr fontId="1" type="noConversion"/>
  </si>
  <si>
    <t>두서연</t>
    <phoneticPr fontId="1" type="noConversion"/>
  </si>
  <si>
    <t>한서연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</si>
</sst>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28"/>
      <color rgb="FF002060"/>
      <name val="맑은 고딕"/>
      <family val="3"/>
      <charset val="129"/>
      <scheme val="minor"/>
    </font>
    <font>
      <b/>
      <sz val="36"/>
      <color rgb="FFFF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thick">
        <color theme="7" tint="-0.499984740745262"/>
      </top>
      <bottom/>
      <diagonal/>
    </border>
    <border>
      <left/>
      <right/>
      <top/>
      <bottom style="thick">
        <color theme="7" tint="-0.499984740745262"/>
      </bottom>
      <diagonal/>
    </border>
    <border>
      <left/>
      <right/>
      <top style="thin">
        <color rgb="FF002060"/>
      </top>
      <bottom style="hair">
        <color theme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/>
      <top style="hair">
        <color auto="1"/>
      </top>
      <bottom style="medium">
        <color rgb="FF00206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2060"/>
      </top>
      <bottom style="hair">
        <color auto="1"/>
      </bottom>
      <diagonal/>
    </border>
    <border>
      <left style="slantDashDot">
        <color theme="5" tint="-0.249977111117893"/>
      </left>
      <right style="slantDashDot">
        <color theme="5" tint="-0.249977111117893"/>
      </right>
      <top style="slantDashDot">
        <color theme="5" tint="-0.249977111117893"/>
      </top>
      <bottom style="slantDashDot">
        <color theme="5" tint="-0.249977111117893"/>
      </bottom>
      <diagonal/>
    </border>
    <border>
      <left/>
      <right/>
      <top/>
      <bottom style="slantDashDot">
        <color theme="6" tint="-0.499984740745262"/>
      </bottom>
      <diagonal/>
    </border>
    <border>
      <left style="slantDashDot">
        <color theme="6" tint="-0.499984740745262"/>
      </left>
      <right/>
      <top style="slantDashDot">
        <color theme="6" tint="-0.499984740745262"/>
      </top>
      <bottom/>
      <diagonal/>
    </border>
    <border>
      <left/>
      <right/>
      <top style="slantDashDot">
        <color theme="6" tint="-0.499984740745262"/>
      </top>
      <bottom/>
      <diagonal/>
    </border>
    <border>
      <left/>
      <right style="slantDashDot">
        <color theme="6" tint="-0.499984740745262"/>
      </right>
      <top style="slantDashDot">
        <color theme="6" tint="-0.499984740745262"/>
      </top>
      <bottom/>
      <diagonal/>
    </border>
    <border>
      <left style="slantDashDot">
        <color theme="6" tint="-0.499984740745262"/>
      </left>
      <right/>
      <top/>
      <bottom/>
      <diagonal/>
    </border>
    <border>
      <left/>
      <right style="slantDashDot">
        <color theme="6" tint="-0.499984740745262"/>
      </right>
      <top/>
      <bottom/>
      <diagonal/>
    </border>
    <border>
      <left style="slantDashDot">
        <color theme="6" tint="-0.499984740745262"/>
      </left>
      <right/>
      <top/>
      <bottom style="thick">
        <color theme="7" tint="-0.499984740745262"/>
      </bottom>
      <diagonal/>
    </border>
    <border>
      <left/>
      <right style="slantDashDot">
        <color theme="6" tint="-0.499984740745262"/>
      </right>
      <top/>
      <bottom style="thick">
        <color theme="7" tint="-0.499984740745262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thin">
        <color theme="0" tint="-4.9989318521683403E-2"/>
      </right>
      <top style="medium">
        <color theme="0" tint="-0.34998626667073579"/>
      </top>
      <bottom style="medium">
        <color theme="0" tint="-0.14999847407452621"/>
      </bottom>
      <diagonal/>
    </border>
    <border>
      <left style="thin">
        <color theme="0" tint="-4.9989318521683403E-2"/>
      </left>
      <right style="medium">
        <color theme="0" tint="-0.34998626667073579"/>
      </right>
      <top style="medium">
        <color theme="0" tint="-0.34998626667073579"/>
      </top>
      <bottom style="medium">
        <color theme="0" tint="-0.14999847407452621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thin">
        <color theme="0" tint="-4.9989318521683403E-2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0" tint="-4.9989318521683403E-2"/>
      </left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14999847407452621"/>
      </bottom>
      <diagonal/>
    </border>
    <border>
      <left style="medium">
        <color theme="0" tint="-0.34998626667073579"/>
      </left>
      <right style="thin">
        <color theme="0" tint="-4.9989318521683403E-2"/>
      </right>
      <top/>
      <bottom style="medium">
        <color theme="0" tint="-0.14999847407452621"/>
      </bottom>
      <diagonal/>
    </border>
    <border>
      <left style="thin">
        <color theme="0" tint="-4.9989318521683403E-2"/>
      </left>
      <right style="medium">
        <color theme="0" tint="-0.34998626667073579"/>
      </right>
      <top/>
      <bottom style="medium">
        <color theme="0" tint="-0.14999847407452621"/>
      </bottom>
      <diagonal/>
    </border>
    <border>
      <left style="medium">
        <color theme="0" tint="-0.34998626667073579"/>
      </left>
      <right/>
      <top/>
      <bottom style="medium">
        <color theme="0" tint="-0.14999847407452621"/>
      </bottom>
      <diagonal/>
    </border>
    <border>
      <left/>
      <right style="medium">
        <color theme="0" tint="-0.34998626667073579"/>
      </right>
      <top/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14999847407452621"/>
      </top>
      <bottom/>
      <diagonal/>
    </border>
    <border>
      <left/>
      <right/>
      <top style="medium">
        <color theme="0" tint="-0.249977111117893"/>
      </top>
      <bottom/>
      <diagonal/>
    </border>
    <border>
      <left style="medium">
        <color theme="0" tint="-0.34998626667073579"/>
      </left>
      <right style="medium">
        <color theme="0" tint="-0.249977111117893"/>
      </right>
      <top style="medium">
        <color theme="0" tint="-0.34998626667073579"/>
      </top>
      <bottom style="medium">
        <color theme="0" tint="-0.14999847407452621"/>
      </bottom>
      <diagonal/>
    </border>
    <border>
      <left/>
      <right style="medium">
        <color theme="0" tint="-0.249977111117893"/>
      </right>
      <top style="medium">
        <color rgb="FFFF0000"/>
      </top>
      <bottom style="medium">
        <color theme="0" tint="-0.34998626667073579"/>
      </bottom>
      <diagonal/>
    </border>
    <border>
      <left style="medium">
        <color theme="0" tint="-0.249977111117893"/>
      </left>
      <right style="medium">
        <color theme="0"/>
      </right>
      <top style="medium">
        <color rgb="FFFF0000"/>
      </top>
      <bottom style="medium">
        <color theme="0" tint="-0.34998626667073579"/>
      </bottom>
      <diagonal/>
    </border>
    <border>
      <left/>
      <right style="medium">
        <color theme="0"/>
      </right>
      <top style="medium">
        <color rgb="FFFF0000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/>
      </right>
      <top style="medium">
        <color theme="0" tint="-0.34998626667073579"/>
      </top>
      <bottom style="medium">
        <color theme="0" tint="-0.14999847407452621"/>
      </bottom>
      <diagonal/>
    </border>
    <border>
      <left style="medium">
        <color theme="0"/>
      </left>
      <right style="medium">
        <color theme="0" tint="-0.249977111117893"/>
      </right>
      <top style="medium">
        <color rgb="FFFF0000"/>
      </top>
      <bottom style="medium">
        <color theme="0" tint="-0.34998626667073579"/>
      </bottom>
      <diagonal/>
    </border>
    <border>
      <left style="medium">
        <color theme="0"/>
      </left>
      <right style="medium">
        <color theme="0" tint="-0.34998626667073579"/>
      </right>
      <top style="medium">
        <color theme="0" tint="-0.34998626667073579"/>
      </top>
      <bottom style="medium">
        <color theme="0" tint="-0.14999847407452621"/>
      </bottom>
      <diagonal/>
    </border>
    <border>
      <left style="medium">
        <color theme="0"/>
      </left>
      <right style="medium">
        <color theme="0" tint="-0.34998626667073579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/>
      </left>
      <right style="medium">
        <color theme="0" tint="-0.34998626667073579"/>
      </right>
      <top/>
      <bottom style="medium">
        <color theme="0" tint="-0.14999847407452621"/>
      </bottom>
      <diagonal/>
    </border>
    <border>
      <left/>
      <right style="medium">
        <color theme="0"/>
      </right>
      <top style="medium">
        <color theme="0" tint="-0.14999847407452621"/>
      </top>
      <bottom/>
      <diagonal/>
    </border>
    <border>
      <left style="medium">
        <color theme="0" tint="-0.249977111117893"/>
      </left>
      <right style="medium">
        <color theme="0"/>
      </right>
      <top style="medium">
        <color rgb="FFFF0000"/>
      </top>
      <bottom style="medium">
        <color theme="0" tint="-0.249977111117893"/>
      </bottom>
      <diagonal/>
    </border>
    <border>
      <left/>
      <right style="medium">
        <color theme="0"/>
      </right>
      <top/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/>
      </right>
      <top style="medium">
        <color theme="0" tint="-0.14999847407452621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/>
      </right>
      <top style="medium">
        <color theme="0" tint="-0.14999847407452621"/>
      </top>
      <bottom/>
      <diagonal/>
    </border>
    <border>
      <left style="medium">
        <color theme="0" tint="-0.34998626667073579"/>
      </left>
      <right style="medium">
        <color theme="0"/>
      </right>
      <top style="medium">
        <color theme="0" tint="-0.249977111117893"/>
      </top>
      <bottom style="medium">
        <color theme="0" tint="-0.14999847407452621"/>
      </bottom>
      <diagonal/>
    </border>
    <border>
      <left style="medium">
        <color theme="0" tint="-0.34998626667073579"/>
      </left>
      <right style="medium">
        <color theme="0"/>
      </right>
      <top/>
      <bottom style="medium">
        <color theme="0" tint="-0.1499984740745262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3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0" fillId="5" borderId="8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>
      <alignment vertical="center"/>
    </xf>
    <xf numFmtId="0" fontId="0" fillId="2" borderId="8" xfId="0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2" fillId="0" borderId="0" xfId="0" applyFont="1">
      <alignment vertical="center"/>
    </xf>
    <xf numFmtId="0" fontId="2" fillId="3" borderId="9" xfId="0" applyFont="1" applyFill="1" applyBorder="1">
      <alignment vertical="center"/>
    </xf>
    <xf numFmtId="0" fontId="0" fillId="0" borderId="9" xfId="0" applyBorder="1">
      <alignment vertical="center"/>
    </xf>
    <xf numFmtId="0" fontId="5" fillId="11" borderId="23" xfId="0" applyFont="1" applyFill="1" applyBorder="1">
      <alignment vertical="center"/>
    </xf>
    <xf numFmtId="0" fontId="5" fillId="11" borderId="24" xfId="0" applyFont="1" applyFill="1" applyBorder="1">
      <alignment vertical="center"/>
    </xf>
    <xf numFmtId="0" fontId="5" fillId="11" borderId="22" xfId="0" applyFont="1" applyFill="1" applyBorder="1" applyAlignment="1">
      <alignment horizontal="center" vertical="center"/>
    </xf>
    <xf numFmtId="0" fontId="5" fillId="11" borderId="25" xfId="0" applyFont="1" applyFill="1" applyBorder="1" applyAlignment="1">
      <alignment horizontal="center" vertical="center"/>
    </xf>
    <xf numFmtId="0" fontId="3" fillId="11" borderId="26" xfId="0" applyFont="1" applyFill="1" applyBorder="1" applyAlignment="1">
      <alignment horizontal="center" vertical="center"/>
    </xf>
    <xf numFmtId="0" fontId="5" fillId="11" borderId="27" xfId="0" applyFont="1" applyFill="1" applyBorder="1">
      <alignment vertical="center"/>
    </xf>
    <xf numFmtId="0" fontId="5" fillId="11" borderId="28" xfId="0" applyFont="1" applyFill="1" applyBorder="1">
      <alignment vertical="center"/>
    </xf>
    <xf numFmtId="0" fontId="5" fillId="11" borderId="26" xfId="0" applyFont="1" applyFill="1" applyBorder="1" applyAlignment="1">
      <alignment horizontal="center" vertical="center"/>
    </xf>
    <xf numFmtId="0" fontId="5" fillId="11" borderId="29" xfId="0" applyFont="1" applyFill="1" applyBorder="1">
      <alignment vertical="center"/>
    </xf>
    <xf numFmtId="0" fontId="5" fillId="11" borderId="30" xfId="0" applyFont="1" applyFill="1" applyBorder="1" applyAlignment="1">
      <alignment horizontal="center" vertical="center"/>
    </xf>
    <xf numFmtId="0" fontId="5" fillId="11" borderId="32" xfId="0" applyFont="1" applyFill="1" applyBorder="1">
      <alignment vertical="center"/>
    </xf>
    <xf numFmtId="0" fontId="5" fillId="11" borderId="33" xfId="0" applyFont="1" applyFill="1" applyBorder="1">
      <alignment vertical="center"/>
    </xf>
    <xf numFmtId="0" fontId="5" fillId="11" borderId="31" xfId="0" applyFont="1" applyFill="1" applyBorder="1" applyAlignment="1">
      <alignment horizontal="center" vertical="center"/>
    </xf>
    <xf numFmtId="0" fontId="5" fillId="11" borderId="36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0" fontId="5" fillId="11" borderId="38" xfId="0" applyFont="1" applyFill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2" fillId="0" borderId="39" xfId="0" applyFont="1" applyBorder="1">
      <alignment vertical="center"/>
    </xf>
    <xf numFmtId="0" fontId="2" fillId="0" borderId="39" xfId="0" applyFont="1" applyBorder="1" applyAlignment="1">
      <alignment horizontal="center" vertical="center"/>
    </xf>
    <xf numFmtId="0" fontId="3" fillId="11" borderId="25" xfId="0" applyFont="1" applyFill="1" applyBorder="1" applyAlignment="1">
      <alignment horizontal="center" vertical="center"/>
    </xf>
    <xf numFmtId="0" fontId="6" fillId="0" borderId="39" xfId="0" applyFont="1" applyBorder="1">
      <alignment vertical="center"/>
    </xf>
    <xf numFmtId="0" fontId="2" fillId="0" borderId="40" xfId="0" applyFont="1" applyBorder="1">
      <alignment vertical="center"/>
    </xf>
    <xf numFmtId="0" fontId="2" fillId="0" borderId="41" xfId="0" applyFont="1" applyBorder="1">
      <alignment vertical="center"/>
    </xf>
    <xf numFmtId="0" fontId="5" fillId="11" borderId="42" xfId="0" applyFont="1" applyFill="1" applyBorder="1">
      <alignment vertical="center"/>
    </xf>
    <xf numFmtId="0" fontId="2" fillId="0" borderId="43" xfId="0" applyFont="1" applyBorder="1" applyAlignment="1">
      <alignment horizontal="center" vertical="center"/>
    </xf>
    <xf numFmtId="0" fontId="3" fillId="11" borderId="44" xfId="0" applyFont="1" applyFill="1" applyBorder="1" applyAlignment="1">
      <alignment horizontal="center" vertical="center"/>
    </xf>
    <xf numFmtId="0" fontId="3" fillId="11" borderId="45" xfId="0" applyFont="1" applyFill="1" applyBorder="1" applyAlignment="1">
      <alignment horizontal="center" vertical="center"/>
    </xf>
    <xf numFmtId="0" fontId="3" fillId="11" borderId="46" xfId="0" applyFont="1" applyFill="1" applyBorder="1" applyAlignment="1">
      <alignment horizontal="center" vertical="center"/>
    </xf>
    <xf numFmtId="0" fontId="5" fillId="11" borderId="0" xfId="0" applyFont="1" applyFill="1">
      <alignment vertical="center"/>
    </xf>
    <xf numFmtId="0" fontId="0" fillId="0" borderId="47" xfId="0" applyBorder="1">
      <alignment vertical="center"/>
    </xf>
    <xf numFmtId="0" fontId="6" fillId="0" borderId="48" xfId="0" applyFont="1" applyBorder="1" applyAlignment="1">
      <alignment horizontal="center" vertical="center"/>
    </xf>
    <xf numFmtId="0" fontId="5" fillId="11" borderId="49" xfId="0" applyFont="1" applyFill="1" applyBorder="1" applyAlignment="1">
      <alignment horizontal="center" vertical="center"/>
    </xf>
    <xf numFmtId="0" fontId="5" fillId="11" borderId="50" xfId="0" applyFont="1" applyFill="1" applyBorder="1" applyAlignment="1">
      <alignment horizontal="center" vertical="center"/>
    </xf>
    <xf numFmtId="0" fontId="5" fillId="11" borderId="5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9" fontId="0" fillId="5" borderId="12" xfId="0" applyNumberFormat="1" applyFill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5" fillId="11" borderId="52" xfId="0" applyFont="1" applyFill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/>
    </xf>
    <xf numFmtId="0" fontId="5" fillId="11" borderId="34" xfId="0" applyFont="1" applyFill="1" applyBorder="1">
      <alignment vertical="center"/>
    </xf>
    <xf numFmtId="0" fontId="5" fillId="11" borderId="35" xfId="0" applyFont="1" applyFill="1" applyBorder="1" applyAlignment="1">
      <alignment horizontal="center" vertical="center"/>
    </xf>
    <xf numFmtId="0" fontId="5" fillId="11" borderId="5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66FFCC"/>
      <color rgb="FF00FFFF"/>
      <color rgb="FFFF66CC"/>
      <color rgb="FF9999FF"/>
      <color rgb="FF6699FF"/>
      <color rgb="FF006699"/>
      <color rgb="FFCCECFF"/>
      <color rgb="FFFFFF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2</xdr:row>
      <xdr:rowOff>76201</xdr:rowOff>
    </xdr:from>
    <xdr:to>
      <xdr:col>5</xdr:col>
      <xdr:colOff>504825</xdr:colOff>
      <xdr:row>4</xdr:row>
      <xdr:rowOff>23805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733675" y="514351"/>
          <a:ext cx="866775" cy="290504"/>
        </a:xfrm>
        <a:prstGeom prst="rect">
          <a:avLst/>
        </a:prstGeom>
      </xdr:spPr>
    </xdr:pic>
    <xdr:clientData/>
  </xdr:two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3E8907B-7164-412D-A190-AE5D3163CACF}"/>
            </a:ext>
          </a:extLst>
        </xdr:cNvPr>
        <xdr:cNvSpPr txBox="1"/>
      </xdr:nvSpPr>
      <xdr:spPr>
        <a:xfrm>
          <a:off x="3676651" y="7267575"/>
          <a:ext cx="2085975" cy="2466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  <xdr:oneCellAnchor>
    <xdr:from>
      <xdr:col>3</xdr:col>
      <xdr:colOff>647700</xdr:colOff>
      <xdr:row>2</xdr:row>
      <xdr:rowOff>76201</xdr:rowOff>
    </xdr:from>
    <xdr:ext cx="862965" cy="298124"/>
    <xdr:pic>
      <xdr:nvPicPr>
        <xdr:cNvPr id="2" name="그림 1">
          <a:extLst>
            <a:ext uri="{FF2B5EF4-FFF2-40B4-BE49-F238E27FC236}">
              <a16:creationId xmlns:a16="http://schemas.microsoft.com/office/drawing/2014/main" id="{9F7A3BFE-F1A9-4641-9F27-999D2AE287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567940" y="533401"/>
          <a:ext cx="862965" cy="298124"/>
        </a:xfrm>
        <a:prstGeom prst="rect">
          <a:avLst/>
        </a:prstGeom>
      </xdr:spPr>
    </xdr:pic>
    <xdr:clientData/>
  </xdr:one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4D702F-E887-415A-8278-F4DDE624517D}"/>
            </a:ext>
          </a:extLst>
        </xdr:cNvPr>
        <xdr:cNvSpPr txBox="1"/>
      </xdr:nvSpPr>
      <xdr:spPr>
        <a:xfrm>
          <a:off x="3707131" y="7616190"/>
          <a:ext cx="2106930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2</xdr:row>
      <xdr:rowOff>76201</xdr:rowOff>
    </xdr:from>
    <xdr:to>
      <xdr:col>5</xdr:col>
      <xdr:colOff>504825</xdr:colOff>
      <xdr:row>4</xdr:row>
      <xdr:rowOff>23805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031D304-FB04-4D5B-ABAB-7A35B8CBFF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567940" y="533401"/>
          <a:ext cx="862965" cy="298124"/>
        </a:xfrm>
        <a:prstGeom prst="rect">
          <a:avLst/>
        </a:prstGeom>
      </xdr:spPr>
    </xdr:pic>
    <xdr:clientData/>
  </xdr:two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F2421D-EFA7-49FA-8787-C13DC88E18C0}"/>
            </a:ext>
          </a:extLst>
        </xdr:cNvPr>
        <xdr:cNvSpPr txBox="1"/>
      </xdr:nvSpPr>
      <xdr:spPr>
        <a:xfrm>
          <a:off x="3707131" y="7616190"/>
          <a:ext cx="2106930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  <xdr:oneCellAnchor>
    <xdr:from>
      <xdr:col>3</xdr:col>
      <xdr:colOff>647700</xdr:colOff>
      <xdr:row>2</xdr:row>
      <xdr:rowOff>76201</xdr:rowOff>
    </xdr:from>
    <xdr:ext cx="862965" cy="298124"/>
    <xdr:pic>
      <xdr:nvPicPr>
        <xdr:cNvPr id="4" name="그림 3">
          <a:extLst>
            <a:ext uri="{FF2B5EF4-FFF2-40B4-BE49-F238E27FC236}">
              <a16:creationId xmlns:a16="http://schemas.microsoft.com/office/drawing/2014/main" id="{973619F5-A075-4E37-BBE7-E61AF932DF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567940" y="533401"/>
          <a:ext cx="862965" cy="298124"/>
        </a:xfrm>
        <a:prstGeom prst="rect">
          <a:avLst/>
        </a:prstGeom>
      </xdr:spPr>
    </xdr:pic>
    <xdr:clientData/>
  </xdr:one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4F6CD81-AE85-4296-AC21-E6A264D12EC3}"/>
            </a:ext>
          </a:extLst>
        </xdr:cNvPr>
        <xdr:cNvSpPr txBox="1"/>
      </xdr:nvSpPr>
      <xdr:spPr>
        <a:xfrm>
          <a:off x="3707131" y="7616190"/>
          <a:ext cx="2106930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647700</xdr:colOff>
      <xdr:row>2</xdr:row>
      <xdr:rowOff>76201</xdr:rowOff>
    </xdr:from>
    <xdr:to>
      <xdr:col>5</xdr:col>
      <xdr:colOff>504825</xdr:colOff>
      <xdr:row>4</xdr:row>
      <xdr:rowOff>23805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FC8AA9-BAB3-4FD9-BECF-7623CF167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567940" y="533401"/>
          <a:ext cx="862965" cy="298124"/>
        </a:xfrm>
        <a:prstGeom prst="rect">
          <a:avLst/>
        </a:prstGeom>
      </xdr:spPr>
    </xdr:pic>
    <xdr:clientData/>
  </xdr:two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6FCF4B-DC8B-47F5-8049-69E28C0BDF8F}"/>
            </a:ext>
          </a:extLst>
        </xdr:cNvPr>
        <xdr:cNvSpPr txBox="1"/>
      </xdr:nvSpPr>
      <xdr:spPr>
        <a:xfrm>
          <a:off x="3707131" y="7616190"/>
          <a:ext cx="2106930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  <xdr:oneCellAnchor>
    <xdr:from>
      <xdr:col>3</xdr:col>
      <xdr:colOff>647700</xdr:colOff>
      <xdr:row>2</xdr:row>
      <xdr:rowOff>76201</xdr:rowOff>
    </xdr:from>
    <xdr:ext cx="862965" cy="298124"/>
    <xdr:pic>
      <xdr:nvPicPr>
        <xdr:cNvPr id="4" name="그림 3">
          <a:extLst>
            <a:ext uri="{FF2B5EF4-FFF2-40B4-BE49-F238E27FC236}">
              <a16:creationId xmlns:a16="http://schemas.microsoft.com/office/drawing/2014/main" id="{4746A5B4-9D9A-43E4-AAB4-9B5E11319F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43" t="37802" r="16079" b="39012"/>
        <a:stretch/>
      </xdr:blipFill>
      <xdr:spPr>
        <a:xfrm>
          <a:off x="2567940" y="533401"/>
          <a:ext cx="862965" cy="298124"/>
        </a:xfrm>
        <a:prstGeom prst="rect">
          <a:avLst/>
        </a:prstGeom>
      </xdr:spPr>
    </xdr:pic>
    <xdr:clientData/>
  </xdr:oneCellAnchor>
  <xdr:twoCellAnchor>
    <xdr:from>
      <xdr:col>6</xdr:col>
      <xdr:colOff>95251</xdr:colOff>
      <xdr:row>35</xdr:row>
      <xdr:rowOff>209550</xdr:rowOff>
    </xdr:from>
    <xdr:to>
      <xdr:col>9</xdr:col>
      <xdr:colOff>342901</xdr:colOff>
      <xdr:row>47</xdr:row>
      <xdr:rowOff>180975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ADB070F-15B3-4DD7-8E33-45D1F527B881}"/>
            </a:ext>
          </a:extLst>
        </xdr:cNvPr>
        <xdr:cNvSpPr txBox="1"/>
      </xdr:nvSpPr>
      <xdr:spPr>
        <a:xfrm>
          <a:off x="3707131" y="7616190"/>
          <a:ext cx="2106930" cy="2371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altLang="ko-KR" sz="5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* </a:t>
          </a:r>
          <a:r>
            <a:rPr lang="ko-KR" altLang="en-US" sz="900"/>
            <a:t>절대평가</a:t>
          </a:r>
          <a:r>
            <a:rPr lang="en-US" altLang="ko-KR" sz="900"/>
            <a:t> </a:t>
          </a:r>
          <a:r>
            <a:rPr lang="ko-KR" altLang="en-US" sz="900"/>
            <a:t>수능 영어 영역 등급 컷 </a:t>
          </a:r>
          <a:endParaRPr lang="en-US" altLang="ko-KR" sz="900"/>
        </a:p>
        <a:p>
          <a:pPr algn="ctr"/>
          <a:endParaRPr lang="en-US" altLang="ko-KR" sz="900"/>
        </a:p>
        <a:p>
          <a:pPr algn="ctr"/>
          <a:r>
            <a:rPr lang="en-US" altLang="ko-KR" sz="900"/>
            <a:t>100</a:t>
          </a:r>
          <a:r>
            <a:rPr lang="en-US" altLang="ko-KR" sz="900" baseline="0"/>
            <a:t> ~ 90 </a:t>
          </a:r>
          <a:r>
            <a:rPr lang="ko-KR" altLang="en-US" sz="900" baseline="0"/>
            <a:t>점  </a:t>
          </a:r>
          <a:r>
            <a:rPr lang="en-US" altLang="ko-KR" sz="900" baseline="0"/>
            <a:t>: 1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90 ~ 80 </a:t>
          </a:r>
          <a:r>
            <a:rPr lang="ko-KR" altLang="en-US" sz="900" baseline="0"/>
            <a:t>점    </a:t>
          </a:r>
          <a:r>
            <a:rPr lang="en-US" altLang="ko-KR" sz="900" baseline="0"/>
            <a:t>: 2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80 ~ 70 </a:t>
          </a:r>
          <a:r>
            <a:rPr lang="ko-KR" altLang="en-US" sz="900" baseline="0"/>
            <a:t>점    </a:t>
          </a:r>
          <a:r>
            <a:rPr lang="en-US" altLang="ko-KR" sz="900" baseline="0"/>
            <a:t>: 3</a:t>
          </a:r>
          <a:r>
            <a:rPr lang="ko-KR" altLang="en-US" sz="900" baseline="0"/>
            <a:t>등급</a:t>
          </a:r>
          <a:endParaRPr lang="en-US" altLang="ko-KR" sz="900" baseline="0"/>
        </a:p>
        <a:p>
          <a:pPr algn="ctr"/>
          <a:r>
            <a:rPr lang="en-US" altLang="ko-KR" sz="900" baseline="0"/>
            <a:t>70 ~ 60 </a:t>
          </a:r>
          <a:r>
            <a:rPr lang="ko-KR" altLang="en-US" sz="900" baseline="0"/>
            <a:t>점    </a:t>
          </a:r>
          <a:r>
            <a:rPr lang="en-US" altLang="ko-KR" sz="900" baseline="0"/>
            <a:t>: 4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60 ~ 50 </a:t>
          </a:r>
          <a:r>
            <a:rPr lang="ko-KR" altLang="en-US" sz="900" baseline="0"/>
            <a:t>점    </a:t>
          </a:r>
          <a:r>
            <a:rPr lang="en-US" altLang="ko-KR" sz="900" baseline="0"/>
            <a:t>: 5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50 ~ 40 </a:t>
          </a:r>
          <a:r>
            <a:rPr lang="ko-KR" altLang="en-US" sz="900" baseline="0"/>
            <a:t>점    </a:t>
          </a:r>
          <a:r>
            <a:rPr lang="en-US" altLang="ko-KR" sz="900" baseline="0"/>
            <a:t>: 6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40 ~ 30 </a:t>
          </a:r>
          <a:r>
            <a:rPr lang="ko-KR" altLang="en-US" sz="900" baseline="0"/>
            <a:t>점    </a:t>
          </a:r>
          <a:r>
            <a:rPr lang="en-US" altLang="ko-KR" sz="900" baseline="0"/>
            <a:t>: 7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30 ~ 20 </a:t>
          </a:r>
          <a:r>
            <a:rPr lang="ko-KR" altLang="en-US" sz="900" baseline="0"/>
            <a:t>점    </a:t>
          </a:r>
          <a:r>
            <a:rPr lang="en-US" altLang="ko-KR" sz="900" baseline="0"/>
            <a:t>: 8</a:t>
          </a:r>
          <a:r>
            <a:rPr lang="ko-KR" altLang="en-US" sz="900" baseline="0"/>
            <a:t>등급 </a:t>
          </a:r>
          <a:endParaRPr lang="en-US" altLang="ko-KR" sz="900" baseline="0"/>
        </a:p>
        <a:p>
          <a:pPr algn="ctr"/>
          <a:r>
            <a:rPr lang="en-US" altLang="ko-KR" sz="900" baseline="0"/>
            <a:t>20 ~ 0 </a:t>
          </a:r>
          <a:r>
            <a:rPr lang="ko-KR" altLang="en-US" sz="900" baseline="0"/>
            <a:t>점      </a:t>
          </a:r>
          <a:r>
            <a:rPr lang="en-US" altLang="ko-KR" sz="900" baseline="0"/>
            <a:t>: 9</a:t>
          </a:r>
          <a:r>
            <a:rPr lang="ko-KR" altLang="en-US" sz="900" baseline="0"/>
            <a:t>등급 </a:t>
          </a:r>
          <a:endParaRPr lang="ko-KR" alt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tabSelected="1" view="pageLayout" topLeftCell="A25" zoomScaleNormal="100" workbookViewId="0">
      <selection activeCell="J33" sqref="J33"/>
    </sheetView>
  </sheetViews>
  <sheetFormatPr defaultRowHeight="17.399999999999999" x14ac:dyDescent="0.4"/>
  <cols>
    <col min="3" max="3" width="8.3984375" customWidth="1"/>
    <col min="4" max="4" width="7" customWidth="1"/>
    <col min="5" max="5" width="4.59765625" customWidth="1"/>
    <col min="8" max="8" width="8" customWidth="1"/>
    <col min="9" max="9" width="7.09765625" customWidth="1"/>
    <col min="10" max="10" width="4.59765625" customWidth="1"/>
  </cols>
  <sheetData>
    <row r="1" spans="1:14" ht="18" customHeight="1" thickTop="1" x14ac:dyDescent="0.4">
      <c r="A1" s="61" t="s">
        <v>64</v>
      </c>
      <c r="B1" s="61"/>
      <c r="C1" s="61"/>
      <c r="D1" s="61"/>
      <c r="E1" s="61"/>
      <c r="F1" s="61"/>
      <c r="G1" s="61"/>
      <c r="H1" s="61"/>
      <c r="I1" s="61"/>
      <c r="J1" s="61"/>
    </row>
    <row r="2" spans="1:14" ht="18" customHeight="1" thickBot="1" x14ac:dyDescent="0.45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4" ht="10.5" customHeight="1" thickTop="1" x14ac:dyDescent="0.4"/>
    <row r="4" spans="1:14" x14ac:dyDescent="0.4">
      <c r="A4" s="6" t="s">
        <v>3</v>
      </c>
      <c r="B4" s="74" t="s">
        <v>63</v>
      </c>
      <c r="C4" s="75"/>
      <c r="D4" s="1"/>
      <c r="E4" s="1"/>
      <c r="F4" s="1"/>
      <c r="G4" s="1"/>
      <c r="H4" s="6" t="s">
        <v>2</v>
      </c>
      <c r="I4" s="74" t="s">
        <v>67</v>
      </c>
      <c r="J4" s="75"/>
    </row>
    <row r="5" spans="1:14" ht="8.25" customHeight="1" thickBot="1" x14ac:dyDescent="0.45"/>
    <row r="6" spans="1:14" x14ac:dyDescent="0.4">
      <c r="A6" s="7"/>
      <c r="B6" s="7" t="s">
        <v>12</v>
      </c>
      <c r="C6" s="8" t="s">
        <v>13</v>
      </c>
      <c r="D6" s="8"/>
      <c r="E6" s="7" t="s">
        <v>14</v>
      </c>
      <c r="F6" s="7"/>
      <c r="G6" s="8" t="s">
        <v>13</v>
      </c>
      <c r="H6" s="16" t="s">
        <v>0</v>
      </c>
      <c r="I6" s="16" t="s">
        <v>32</v>
      </c>
      <c r="J6" s="7"/>
    </row>
    <row r="7" spans="1:14" x14ac:dyDescent="0.4">
      <c r="A7" s="1" t="s">
        <v>4</v>
      </c>
      <c r="B7" s="1">
        <v>37</v>
      </c>
      <c r="C7" s="63">
        <v>1</v>
      </c>
      <c r="D7" s="63"/>
      <c r="E7" s="76">
        <v>63</v>
      </c>
      <c r="F7" s="76"/>
      <c r="G7" s="3">
        <v>1</v>
      </c>
      <c r="H7" s="1" t="s">
        <v>5</v>
      </c>
      <c r="I7" s="2"/>
      <c r="J7" s="2"/>
    </row>
    <row r="8" spans="1:14" ht="18" thickBot="1" x14ac:dyDescent="0.45">
      <c r="A8" s="9" t="s">
        <v>6</v>
      </c>
      <c r="B8" s="15">
        <f>N17</f>
        <v>26</v>
      </c>
      <c r="C8" s="10">
        <f>B8/37*100</f>
        <v>70.270270270270274</v>
      </c>
      <c r="D8" s="10"/>
      <c r="E8" s="15">
        <f>N18</f>
        <v>37</v>
      </c>
      <c r="F8" s="15"/>
      <c r="G8" s="10">
        <f>E8/63*100</f>
        <v>58.730158730158735</v>
      </c>
      <c r="H8" s="18">
        <f>SUM(B8,E8)</f>
        <v>63</v>
      </c>
      <c r="I8" s="17"/>
      <c r="J8" s="9"/>
    </row>
    <row r="9" spans="1:14" ht="11.25" customHeight="1" x14ac:dyDescent="0.4"/>
    <row r="10" spans="1:14" ht="18" thickBot="1" x14ac:dyDescent="0.45">
      <c r="A10" s="25" t="s">
        <v>7</v>
      </c>
      <c r="B10" s="25"/>
      <c r="C10" s="26"/>
      <c r="J10" s="26"/>
    </row>
    <row r="11" spans="1:14" ht="18" thickBot="1" x14ac:dyDescent="0.45">
      <c r="A11" s="51" t="s">
        <v>9</v>
      </c>
      <c r="B11" s="48" t="s">
        <v>10</v>
      </c>
      <c r="C11" s="44"/>
      <c r="D11" s="47" t="s">
        <v>11</v>
      </c>
      <c r="E11" s="43" t="s">
        <v>31</v>
      </c>
      <c r="F11" s="45" t="s">
        <v>9</v>
      </c>
      <c r="G11" s="49" t="s">
        <v>10</v>
      </c>
      <c r="H11" s="44"/>
      <c r="I11" s="43" t="s">
        <v>11</v>
      </c>
      <c r="J11" s="57" t="s">
        <v>31</v>
      </c>
    </row>
    <row r="12" spans="1:14" ht="18" thickBot="1" x14ac:dyDescent="0.45">
      <c r="A12" s="52">
        <v>1</v>
      </c>
      <c r="B12" s="27" t="s">
        <v>20</v>
      </c>
      <c r="C12" s="28"/>
      <c r="D12" s="29" t="s">
        <v>15</v>
      </c>
      <c r="E12" s="42">
        <v>2</v>
      </c>
      <c r="F12" s="46">
        <v>23</v>
      </c>
      <c r="G12" s="50" t="s">
        <v>26</v>
      </c>
      <c r="H12" s="30"/>
      <c r="I12" s="42" t="s">
        <v>15</v>
      </c>
      <c r="J12" s="58">
        <v>2</v>
      </c>
    </row>
    <row r="13" spans="1:14" ht="18" thickBot="1" x14ac:dyDescent="0.45">
      <c r="A13" s="53">
        <v>2</v>
      </c>
      <c r="B13" s="32" t="s">
        <v>59</v>
      </c>
      <c r="C13" s="33"/>
      <c r="D13" s="34" t="s">
        <v>15</v>
      </c>
      <c r="E13" s="34">
        <v>2</v>
      </c>
      <c r="F13" s="31">
        <v>24</v>
      </c>
      <c r="G13" s="35" t="s">
        <v>27</v>
      </c>
      <c r="H13" s="36"/>
      <c r="I13" s="34" t="s">
        <v>15</v>
      </c>
      <c r="J13" s="59">
        <v>2</v>
      </c>
    </row>
    <row r="14" spans="1:14" ht="18" thickBot="1" x14ac:dyDescent="0.45">
      <c r="A14" s="53">
        <v>3</v>
      </c>
      <c r="B14" s="32" t="s">
        <v>18</v>
      </c>
      <c r="C14" s="33"/>
      <c r="D14" s="34" t="s">
        <v>15</v>
      </c>
      <c r="E14" s="34">
        <v>2</v>
      </c>
      <c r="F14" s="31">
        <v>25</v>
      </c>
      <c r="G14" s="35" t="s">
        <v>54</v>
      </c>
      <c r="H14" s="36"/>
      <c r="I14" s="34" t="s">
        <v>15</v>
      </c>
      <c r="J14" s="59">
        <v>2</v>
      </c>
    </row>
    <row r="15" spans="1:14" ht="18" thickBot="1" x14ac:dyDescent="0.45">
      <c r="A15" s="53">
        <v>4</v>
      </c>
      <c r="B15" s="32" t="s">
        <v>21</v>
      </c>
      <c r="C15" s="33"/>
      <c r="D15" s="34" t="s">
        <v>15</v>
      </c>
      <c r="E15" s="34">
        <v>2</v>
      </c>
      <c r="F15" s="31">
        <v>26</v>
      </c>
      <c r="G15" s="35" t="s">
        <v>55</v>
      </c>
      <c r="H15" s="36"/>
      <c r="I15" s="34" t="s">
        <v>15</v>
      </c>
      <c r="J15" s="59">
        <v>2</v>
      </c>
    </row>
    <row r="16" spans="1:14" ht="18" thickBot="1" x14ac:dyDescent="0.45">
      <c r="A16" s="53">
        <v>5</v>
      </c>
      <c r="B16" s="32" t="s">
        <v>60</v>
      </c>
      <c r="C16" s="33"/>
      <c r="D16" s="34" t="s">
        <v>15</v>
      </c>
      <c r="E16" s="34">
        <v>2</v>
      </c>
      <c r="F16" s="31">
        <v>27</v>
      </c>
      <c r="G16" s="35" t="s">
        <v>55</v>
      </c>
      <c r="H16" s="36"/>
      <c r="I16" s="34" t="s">
        <v>15</v>
      </c>
      <c r="J16" s="59">
        <v>2</v>
      </c>
      <c r="L16" t="s">
        <v>44</v>
      </c>
      <c r="M16" t="s">
        <v>46</v>
      </c>
      <c r="N16" t="s">
        <v>45</v>
      </c>
    </row>
    <row r="17" spans="1:14" ht="18" thickBot="1" x14ac:dyDescent="0.45">
      <c r="A17" s="53">
        <v>6</v>
      </c>
      <c r="B17" s="32" t="s">
        <v>61</v>
      </c>
      <c r="C17" s="33"/>
      <c r="D17" s="34" t="s">
        <v>62</v>
      </c>
      <c r="E17" s="34">
        <v>3</v>
      </c>
      <c r="F17" s="31">
        <v>28</v>
      </c>
      <c r="G17" s="35" t="s">
        <v>30</v>
      </c>
      <c r="H17" s="36"/>
      <c r="I17" s="34" t="s">
        <v>15</v>
      </c>
      <c r="J17" s="59">
        <v>2</v>
      </c>
      <c r="K17" t="s">
        <v>47</v>
      </c>
      <c r="L17">
        <f>SUM(E12:E28)</f>
        <v>37</v>
      </c>
      <c r="M17">
        <f>SUM(E12,E17,E19,E22,E26,)</f>
        <v>11</v>
      </c>
      <c r="N17">
        <f>L17-M17</f>
        <v>26</v>
      </c>
    </row>
    <row r="18" spans="1:14" ht="18" thickBot="1" x14ac:dyDescent="0.45">
      <c r="A18" s="53">
        <v>7</v>
      </c>
      <c r="B18" s="32" t="s">
        <v>16</v>
      </c>
      <c r="C18" s="33"/>
      <c r="D18" s="34" t="s">
        <v>15</v>
      </c>
      <c r="E18" s="34">
        <v>2</v>
      </c>
      <c r="F18" s="31">
        <v>29</v>
      </c>
      <c r="G18" s="35" t="s">
        <v>56</v>
      </c>
      <c r="H18" s="36"/>
      <c r="I18" s="40" t="s">
        <v>15</v>
      </c>
      <c r="J18" s="60">
        <v>3</v>
      </c>
      <c r="K18" t="s">
        <v>48</v>
      </c>
      <c r="L18">
        <f>SUM(E29:E33,J12:J34)</f>
        <v>63</v>
      </c>
      <c r="M18">
        <f>SUM(E30,J13,J20,J28:J29,J21:J25,J31,,)</f>
        <v>26</v>
      </c>
      <c r="N18">
        <f>L18-M18</f>
        <v>37</v>
      </c>
    </row>
    <row r="19" spans="1:14" ht="18" thickBot="1" x14ac:dyDescent="0.45">
      <c r="A19" s="53">
        <v>8</v>
      </c>
      <c r="B19" s="32" t="s">
        <v>23</v>
      </c>
      <c r="C19" s="33"/>
      <c r="D19" s="34" t="s">
        <v>15</v>
      </c>
      <c r="E19" s="34">
        <v>2</v>
      </c>
      <c r="F19" s="31">
        <v>30</v>
      </c>
      <c r="G19" s="35" t="s">
        <v>17</v>
      </c>
      <c r="H19" s="36"/>
      <c r="I19" s="34" t="s">
        <v>62</v>
      </c>
      <c r="J19" s="79">
        <v>3</v>
      </c>
      <c r="K19" s="41"/>
    </row>
    <row r="20" spans="1:14" ht="18" thickBot="1" x14ac:dyDescent="0.45">
      <c r="A20" s="53">
        <v>9</v>
      </c>
      <c r="B20" s="32" t="s">
        <v>58</v>
      </c>
      <c r="C20" s="33"/>
      <c r="D20" s="34" t="s">
        <v>15</v>
      </c>
      <c r="E20" s="34">
        <v>2</v>
      </c>
      <c r="F20" s="31">
        <v>31</v>
      </c>
      <c r="G20" s="35" t="s">
        <v>38</v>
      </c>
      <c r="H20" s="36"/>
      <c r="I20" s="34" t="s">
        <v>62</v>
      </c>
      <c r="J20" s="59">
        <v>2</v>
      </c>
      <c r="N20">
        <f>SUM(N17:N18)</f>
        <v>63</v>
      </c>
    </row>
    <row r="21" spans="1:14" ht="18" thickBot="1" x14ac:dyDescent="0.45">
      <c r="A21" s="53">
        <v>10</v>
      </c>
      <c r="B21" s="32" t="s">
        <v>22</v>
      </c>
      <c r="C21" s="33"/>
      <c r="D21" s="34" t="s">
        <v>15</v>
      </c>
      <c r="E21" s="34">
        <v>2</v>
      </c>
      <c r="F21" s="31">
        <v>32</v>
      </c>
      <c r="G21" s="35" t="s">
        <v>39</v>
      </c>
      <c r="H21" s="36"/>
      <c r="I21" s="34" t="s">
        <v>62</v>
      </c>
      <c r="J21" s="59">
        <v>2</v>
      </c>
    </row>
    <row r="22" spans="1:14" ht="18" thickBot="1" x14ac:dyDescent="0.45">
      <c r="A22" s="53">
        <v>11</v>
      </c>
      <c r="B22" s="32" t="s">
        <v>19</v>
      </c>
      <c r="C22" s="33"/>
      <c r="D22" s="34" t="s">
        <v>15</v>
      </c>
      <c r="E22" s="34">
        <v>2</v>
      </c>
      <c r="F22" s="31">
        <v>33</v>
      </c>
      <c r="G22" s="35" t="s">
        <v>40</v>
      </c>
      <c r="H22" s="36"/>
      <c r="I22" s="34" t="s">
        <v>15</v>
      </c>
      <c r="J22" s="59">
        <v>3</v>
      </c>
    </row>
    <row r="23" spans="1:14" ht="18" thickBot="1" x14ac:dyDescent="0.45">
      <c r="A23" s="53">
        <v>12</v>
      </c>
      <c r="B23" s="32" t="s">
        <v>19</v>
      </c>
      <c r="C23" s="33"/>
      <c r="D23" s="34" t="s">
        <v>62</v>
      </c>
      <c r="E23" s="34">
        <v>2</v>
      </c>
      <c r="F23" s="31">
        <v>34</v>
      </c>
      <c r="G23" s="35" t="s">
        <v>39</v>
      </c>
      <c r="H23" s="36"/>
      <c r="I23" s="34" t="s">
        <v>62</v>
      </c>
      <c r="J23" s="59">
        <v>3</v>
      </c>
    </row>
    <row r="24" spans="1:14" ht="18" thickBot="1" x14ac:dyDescent="0.45">
      <c r="A24" s="53">
        <v>13</v>
      </c>
      <c r="B24" s="32" t="s">
        <v>19</v>
      </c>
      <c r="C24" s="33"/>
      <c r="D24" s="34" t="s">
        <v>15</v>
      </c>
      <c r="E24" s="34">
        <v>3</v>
      </c>
      <c r="F24" s="31">
        <v>35</v>
      </c>
      <c r="G24" s="35" t="s">
        <v>29</v>
      </c>
      <c r="H24" s="36"/>
      <c r="I24" s="34" t="s">
        <v>62</v>
      </c>
      <c r="J24" s="59">
        <v>2</v>
      </c>
    </row>
    <row r="25" spans="1:14" ht="18" thickBot="1" x14ac:dyDescent="0.45">
      <c r="A25" s="53">
        <v>14</v>
      </c>
      <c r="B25" s="32" t="s">
        <v>19</v>
      </c>
      <c r="C25" s="33"/>
      <c r="D25" s="34" t="s">
        <v>62</v>
      </c>
      <c r="E25" s="34">
        <v>3</v>
      </c>
      <c r="F25" s="31">
        <v>36</v>
      </c>
      <c r="G25" s="35" t="s">
        <v>41</v>
      </c>
      <c r="H25" s="36"/>
      <c r="I25" s="34" t="s">
        <v>15</v>
      </c>
      <c r="J25" s="59">
        <v>3</v>
      </c>
    </row>
    <row r="26" spans="1:14" ht="18" thickBot="1" x14ac:dyDescent="0.45">
      <c r="A26" s="53">
        <v>15</v>
      </c>
      <c r="B26" s="32" t="s">
        <v>19</v>
      </c>
      <c r="C26" s="33"/>
      <c r="D26" s="34" t="s">
        <v>15</v>
      </c>
      <c r="E26" s="34">
        <v>2</v>
      </c>
      <c r="F26" s="31">
        <v>37</v>
      </c>
      <c r="G26" s="35" t="s">
        <v>41</v>
      </c>
      <c r="H26" s="36"/>
      <c r="I26" s="34" t="s">
        <v>15</v>
      </c>
      <c r="J26" s="59">
        <v>2</v>
      </c>
    </row>
    <row r="27" spans="1:14" ht="18" thickBot="1" x14ac:dyDescent="0.45">
      <c r="A27" s="53">
        <v>16</v>
      </c>
      <c r="B27" s="32" t="s">
        <v>52</v>
      </c>
      <c r="C27" s="33"/>
      <c r="D27" s="34" t="s">
        <v>62</v>
      </c>
      <c r="E27" s="34">
        <v>2</v>
      </c>
      <c r="F27" s="31">
        <v>38</v>
      </c>
      <c r="G27" s="35" t="s">
        <v>28</v>
      </c>
      <c r="H27" s="36"/>
      <c r="I27" s="34" t="s">
        <v>62</v>
      </c>
      <c r="J27" s="59">
        <v>2</v>
      </c>
      <c r="L27" s="14"/>
      <c r="M27" s="13"/>
      <c r="N27" s="13"/>
    </row>
    <row r="28" spans="1:14" ht="18" thickBot="1" x14ac:dyDescent="0.45">
      <c r="A28" s="53">
        <v>17</v>
      </c>
      <c r="B28" s="32" t="s">
        <v>23</v>
      </c>
      <c r="C28" s="33"/>
      <c r="D28" s="34" t="s">
        <v>15</v>
      </c>
      <c r="E28" s="34">
        <v>2</v>
      </c>
      <c r="F28" s="31">
        <v>39</v>
      </c>
      <c r="G28" s="35" t="s">
        <v>28</v>
      </c>
      <c r="H28" s="36"/>
      <c r="I28" s="34" t="s">
        <v>62</v>
      </c>
      <c r="J28" s="59">
        <v>3</v>
      </c>
    </row>
    <row r="29" spans="1:14" ht="18" thickBot="1" x14ac:dyDescent="0.45">
      <c r="A29" s="53">
        <v>18</v>
      </c>
      <c r="B29" s="32" t="s">
        <v>36</v>
      </c>
      <c r="C29" s="33"/>
      <c r="D29" s="34" t="s">
        <v>15</v>
      </c>
      <c r="E29" s="34">
        <v>2</v>
      </c>
      <c r="F29" s="31">
        <v>40</v>
      </c>
      <c r="G29" s="35" t="s">
        <v>42</v>
      </c>
      <c r="H29" s="36"/>
      <c r="I29" s="34" t="s">
        <v>62</v>
      </c>
      <c r="J29" s="59">
        <v>2</v>
      </c>
    </row>
    <row r="30" spans="1:14" ht="18" thickBot="1" x14ac:dyDescent="0.45">
      <c r="A30" s="53">
        <v>19</v>
      </c>
      <c r="B30" s="32" t="s">
        <v>37</v>
      </c>
      <c r="C30" s="33"/>
      <c r="D30" s="34" t="s">
        <v>15</v>
      </c>
      <c r="E30" s="34">
        <v>2</v>
      </c>
      <c r="F30" s="31">
        <v>41</v>
      </c>
      <c r="G30" s="35" t="s">
        <v>57</v>
      </c>
      <c r="H30" s="36"/>
      <c r="I30" s="34" t="s">
        <v>62</v>
      </c>
      <c r="J30" s="59">
        <v>2</v>
      </c>
    </row>
    <row r="31" spans="1:14" ht="18" thickBot="1" x14ac:dyDescent="0.45">
      <c r="A31" s="54">
        <v>20</v>
      </c>
      <c r="B31" s="37" t="s">
        <v>25</v>
      </c>
      <c r="C31" s="38"/>
      <c r="D31" s="39" t="s">
        <v>15</v>
      </c>
      <c r="E31" s="39">
        <v>2</v>
      </c>
      <c r="F31" s="80">
        <v>42</v>
      </c>
      <c r="G31" s="81" t="s">
        <v>43</v>
      </c>
      <c r="H31" s="82"/>
      <c r="I31" s="34" t="s">
        <v>62</v>
      </c>
      <c r="J31" s="83">
        <v>2</v>
      </c>
    </row>
    <row r="32" spans="1:14" ht="18" thickBot="1" x14ac:dyDescent="0.45">
      <c r="A32" s="53">
        <v>21</v>
      </c>
      <c r="B32" s="32" t="s">
        <v>53</v>
      </c>
      <c r="C32" s="33"/>
      <c r="D32" s="34" t="s">
        <v>62</v>
      </c>
      <c r="E32" s="34">
        <v>3</v>
      </c>
      <c r="F32" s="31">
        <v>43</v>
      </c>
      <c r="G32" s="35" t="s">
        <v>33</v>
      </c>
      <c r="H32" s="36"/>
      <c r="I32" s="34" t="s">
        <v>15</v>
      </c>
      <c r="J32" s="59">
        <v>2</v>
      </c>
    </row>
    <row r="33" spans="1:10" ht="18" thickBot="1" x14ac:dyDescent="0.45">
      <c r="A33" s="53">
        <v>22</v>
      </c>
      <c r="B33" s="32" t="s">
        <v>24</v>
      </c>
      <c r="C33" s="33"/>
      <c r="D33" s="34" t="s">
        <v>15</v>
      </c>
      <c r="E33" s="34">
        <v>2</v>
      </c>
      <c r="F33" s="31">
        <v>44</v>
      </c>
      <c r="G33" s="35" t="s">
        <v>34</v>
      </c>
      <c r="H33" s="36"/>
      <c r="I33" s="34" t="s">
        <v>15</v>
      </c>
      <c r="J33" s="59">
        <v>2</v>
      </c>
    </row>
    <row r="34" spans="1:10" ht="16.5" customHeight="1" thickBot="1" x14ac:dyDescent="0.45">
      <c r="D34" s="56"/>
      <c r="E34" s="55"/>
      <c r="F34" s="34">
        <v>45</v>
      </c>
      <c r="G34" s="35" t="s">
        <v>35</v>
      </c>
      <c r="H34" s="36"/>
      <c r="I34" s="34" t="s">
        <v>15</v>
      </c>
      <c r="J34" s="59">
        <v>2</v>
      </c>
    </row>
    <row r="35" spans="1:10" ht="16.5" hidden="1" customHeight="1" x14ac:dyDescent="0.4"/>
    <row r="36" spans="1:10" ht="18" thickBot="1" x14ac:dyDescent="0.45">
      <c r="A36" s="4" t="s">
        <v>8</v>
      </c>
      <c r="B36" s="24"/>
    </row>
    <row r="37" spans="1:10" ht="18" thickBot="1" x14ac:dyDescent="0.45">
      <c r="A37" s="77"/>
      <c r="B37" s="78"/>
      <c r="C37" s="78"/>
      <c r="D37" s="78"/>
      <c r="E37" s="78"/>
      <c r="F37" s="78"/>
      <c r="G37" s="12"/>
      <c r="H37" s="12"/>
      <c r="I37" s="11"/>
      <c r="J37" s="11"/>
    </row>
    <row r="38" spans="1:10" ht="18" thickBot="1" x14ac:dyDescent="0.45">
      <c r="A38" s="78"/>
      <c r="B38" s="78"/>
      <c r="C38" s="78"/>
      <c r="D38" s="78"/>
      <c r="E38" s="78"/>
      <c r="F38" s="78"/>
      <c r="G38" s="12"/>
      <c r="H38" s="12"/>
      <c r="I38" s="11"/>
      <c r="J38" s="11"/>
    </row>
    <row r="39" spans="1:10" ht="18" thickBot="1" x14ac:dyDescent="0.45">
      <c r="A39" s="78"/>
      <c r="B39" s="78"/>
      <c r="C39" s="78"/>
      <c r="D39" s="78"/>
      <c r="E39" s="78"/>
      <c r="F39" s="78"/>
      <c r="G39" s="11"/>
      <c r="H39" s="11"/>
      <c r="I39" s="11"/>
      <c r="J39" s="11"/>
    </row>
    <row r="40" spans="1:10" ht="18" thickBot="1" x14ac:dyDescent="0.45">
      <c r="A40" s="78"/>
      <c r="B40" s="78"/>
      <c r="C40" s="78"/>
      <c r="D40" s="78"/>
      <c r="E40" s="78"/>
      <c r="F40" s="78"/>
      <c r="G40" s="11"/>
      <c r="H40" s="11"/>
      <c r="I40" s="11"/>
      <c r="J40" s="11"/>
    </row>
    <row r="41" spans="1:10" ht="18" thickBot="1" x14ac:dyDescent="0.45">
      <c r="A41" s="78"/>
      <c r="B41" s="78"/>
      <c r="C41" s="78"/>
      <c r="D41" s="78"/>
      <c r="E41" s="78"/>
      <c r="F41" s="78"/>
      <c r="G41" s="11"/>
      <c r="H41" s="11"/>
      <c r="I41" s="11"/>
      <c r="J41" s="11"/>
    </row>
    <row r="42" spans="1:10" ht="18" thickBot="1" x14ac:dyDescent="0.45">
      <c r="A42" s="78"/>
      <c r="B42" s="78"/>
      <c r="C42" s="78"/>
      <c r="D42" s="78"/>
      <c r="E42" s="78"/>
      <c r="F42" s="78"/>
      <c r="G42" s="11"/>
      <c r="H42" s="11"/>
      <c r="I42" s="11"/>
      <c r="J42" s="11"/>
    </row>
    <row r="43" spans="1:10" ht="9" customHeight="1" thickBot="1" x14ac:dyDescent="0.45">
      <c r="A43" s="78"/>
      <c r="B43" s="78"/>
      <c r="C43" s="78"/>
      <c r="D43" s="78"/>
      <c r="E43" s="78"/>
      <c r="F43" s="78"/>
    </row>
    <row r="44" spans="1:10" ht="18" thickBot="1" x14ac:dyDescent="0.45">
      <c r="A44" s="19" t="s">
        <v>49</v>
      </c>
      <c r="B44" s="20"/>
      <c r="C44" s="20"/>
      <c r="D44" s="20"/>
      <c r="E44" s="20"/>
      <c r="F44" s="20"/>
      <c r="G44" s="5"/>
      <c r="H44" s="5"/>
      <c r="I44" s="5"/>
      <c r="J44" s="5"/>
    </row>
    <row r="45" spans="1:10" x14ac:dyDescent="0.4">
      <c r="A45" s="21"/>
      <c r="B45" s="22"/>
      <c r="C45" s="22"/>
      <c r="D45" s="22"/>
      <c r="E45" s="22"/>
      <c r="F45" s="23"/>
      <c r="G45" s="5"/>
      <c r="H45" s="5"/>
      <c r="I45" s="5"/>
      <c r="J45" s="5"/>
    </row>
    <row r="46" spans="1:10" ht="25.5" customHeight="1" x14ac:dyDescent="0.4">
      <c r="A46" s="64">
        <f>N20</f>
        <v>63</v>
      </c>
      <c r="B46" s="65"/>
      <c r="C46" s="68" t="s">
        <v>50</v>
      </c>
      <c r="D46" s="70">
        <f>I8</f>
        <v>0</v>
      </c>
      <c r="E46" s="70"/>
      <c r="F46" s="72" t="s">
        <v>51</v>
      </c>
      <c r="G46" s="5"/>
      <c r="H46" s="5"/>
      <c r="I46" s="5"/>
      <c r="J46" s="5"/>
    </row>
    <row r="47" spans="1:10" ht="18" hidden="1" customHeight="1" thickBot="1" x14ac:dyDescent="0.4">
      <c r="A47" s="64"/>
      <c r="B47" s="65"/>
      <c r="C47" s="68"/>
      <c r="D47" s="70"/>
      <c r="E47" s="70"/>
      <c r="F47" s="72"/>
      <c r="G47" s="5"/>
      <c r="H47" s="5"/>
      <c r="I47" s="5"/>
      <c r="J47" s="5"/>
    </row>
    <row r="48" spans="1:10" ht="8.25" customHeight="1" thickBot="1" x14ac:dyDescent="0.45">
      <c r="A48" s="66"/>
      <c r="B48" s="67"/>
      <c r="C48" s="69"/>
      <c r="D48" s="71"/>
      <c r="E48" s="71"/>
      <c r="F48" s="73"/>
    </row>
    <row r="49" ht="18" thickTop="1" x14ac:dyDescent="0.4"/>
  </sheetData>
  <phoneticPr fontId="1" type="noConversion"/>
  <printOptions horizontalCentered="1"/>
  <pageMargins left="0.70866141732283472" right="0.70866141732283472" top="0.35433070866141736" bottom="0.27559055118110237" header="0.31496062992125984" footer="0.31496062992125984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C987-B7E4-4490-87E1-AB7F9CB2814A}">
  <dimension ref="A1:N49"/>
  <sheetViews>
    <sheetView view="pageLayout" zoomScaleNormal="100" workbookViewId="0">
      <selection activeCell="I5" sqref="I5"/>
    </sheetView>
  </sheetViews>
  <sheetFormatPr defaultRowHeight="17.399999999999999" x14ac:dyDescent="0.4"/>
  <cols>
    <col min="3" max="3" width="8.3984375" customWidth="1"/>
    <col min="4" max="4" width="7" customWidth="1"/>
    <col min="5" max="5" width="4.59765625" customWidth="1"/>
    <col min="8" max="8" width="8" customWidth="1"/>
    <col min="9" max="9" width="7.09765625" customWidth="1"/>
    <col min="10" max="10" width="4.59765625" customWidth="1"/>
  </cols>
  <sheetData>
    <row r="1" spans="1:14" ht="18" customHeight="1" thickTop="1" x14ac:dyDescent="0.4">
      <c r="A1" s="61" t="s">
        <v>64</v>
      </c>
      <c r="B1" s="61"/>
      <c r="C1" s="61"/>
      <c r="D1" s="61"/>
      <c r="E1" s="61"/>
      <c r="F1" s="61"/>
      <c r="G1" s="61"/>
      <c r="H1" s="61"/>
      <c r="I1" s="61"/>
      <c r="J1" s="61"/>
    </row>
    <row r="2" spans="1:14" ht="18" customHeight="1" thickBot="1" x14ac:dyDescent="0.45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4" ht="10.5" customHeight="1" thickTop="1" x14ac:dyDescent="0.4"/>
    <row r="4" spans="1:14" x14ac:dyDescent="0.4">
      <c r="A4" s="6" t="s">
        <v>3</v>
      </c>
      <c r="B4" s="74" t="s">
        <v>63</v>
      </c>
      <c r="C4" s="75"/>
      <c r="D4" s="1"/>
      <c r="E4" s="1"/>
      <c r="F4" s="1"/>
      <c r="G4" s="1"/>
      <c r="H4" s="6" t="s">
        <v>2</v>
      </c>
      <c r="I4" s="74" t="s">
        <v>66</v>
      </c>
      <c r="J4" s="75"/>
    </row>
    <row r="5" spans="1:14" ht="8.25" customHeight="1" thickBot="1" x14ac:dyDescent="0.45"/>
    <row r="6" spans="1:14" x14ac:dyDescent="0.4">
      <c r="A6" s="7"/>
      <c r="B6" s="7" t="s">
        <v>12</v>
      </c>
      <c r="C6" s="8" t="s">
        <v>13</v>
      </c>
      <c r="D6" s="8"/>
      <c r="E6" s="7" t="s">
        <v>14</v>
      </c>
      <c r="F6" s="7"/>
      <c r="G6" s="8" t="s">
        <v>13</v>
      </c>
      <c r="H6" s="16" t="s">
        <v>0</v>
      </c>
      <c r="I6" s="16" t="s">
        <v>1</v>
      </c>
      <c r="J6" s="7"/>
    </row>
    <row r="7" spans="1:14" x14ac:dyDescent="0.4">
      <c r="A7" s="1" t="s">
        <v>4</v>
      </c>
      <c r="B7" s="1">
        <v>37</v>
      </c>
      <c r="C7" s="63">
        <v>1</v>
      </c>
      <c r="D7" s="63"/>
      <c r="E7" s="76">
        <v>63</v>
      </c>
      <c r="F7" s="76"/>
      <c r="G7" s="3">
        <v>1</v>
      </c>
      <c r="H7" s="1" t="s">
        <v>5</v>
      </c>
      <c r="I7" s="2"/>
      <c r="J7" s="2"/>
    </row>
    <row r="8" spans="1:14" ht="18" thickBot="1" x14ac:dyDescent="0.45">
      <c r="A8" s="9" t="s">
        <v>6</v>
      </c>
      <c r="B8" s="15">
        <f>N17</f>
        <v>26</v>
      </c>
      <c r="C8" s="10">
        <f>B8/37*100</f>
        <v>70.270270270270274</v>
      </c>
      <c r="D8" s="10"/>
      <c r="E8" s="15">
        <f>N18</f>
        <v>37</v>
      </c>
      <c r="F8" s="15"/>
      <c r="G8" s="10">
        <f>E8/63*100</f>
        <v>58.730158730158735</v>
      </c>
      <c r="H8" s="18">
        <f>SUM(B8,E8)</f>
        <v>63</v>
      </c>
      <c r="I8" s="17"/>
      <c r="J8" s="9"/>
    </row>
    <row r="9" spans="1:14" ht="11.25" customHeight="1" x14ac:dyDescent="0.4"/>
    <row r="10" spans="1:14" ht="18" thickBot="1" x14ac:dyDescent="0.45">
      <c r="A10" s="25" t="s">
        <v>7</v>
      </c>
      <c r="B10" s="25"/>
      <c r="C10" s="26"/>
      <c r="J10" s="26"/>
    </row>
    <row r="11" spans="1:14" ht="18" thickBot="1" x14ac:dyDescent="0.45">
      <c r="A11" s="51" t="s">
        <v>9</v>
      </c>
      <c r="B11" s="48" t="s">
        <v>10</v>
      </c>
      <c r="C11" s="44"/>
      <c r="D11" s="47" t="s">
        <v>11</v>
      </c>
      <c r="E11" s="43" t="s">
        <v>31</v>
      </c>
      <c r="F11" s="45" t="s">
        <v>9</v>
      </c>
      <c r="G11" s="49" t="s">
        <v>10</v>
      </c>
      <c r="H11" s="44"/>
      <c r="I11" s="43" t="s">
        <v>11</v>
      </c>
      <c r="J11" s="57" t="s">
        <v>31</v>
      </c>
    </row>
    <row r="12" spans="1:14" ht="18" thickBot="1" x14ac:dyDescent="0.45">
      <c r="A12" s="52">
        <v>1</v>
      </c>
      <c r="B12" s="27" t="s">
        <v>20</v>
      </c>
      <c r="C12" s="28"/>
      <c r="D12" s="29" t="s">
        <v>15</v>
      </c>
      <c r="E12" s="42">
        <v>2</v>
      </c>
      <c r="F12" s="46">
        <v>23</v>
      </c>
      <c r="G12" s="50" t="s">
        <v>26</v>
      </c>
      <c r="H12" s="30"/>
      <c r="I12" s="42" t="s">
        <v>15</v>
      </c>
      <c r="J12" s="58">
        <v>2</v>
      </c>
    </row>
    <row r="13" spans="1:14" ht="18" thickBot="1" x14ac:dyDescent="0.45">
      <c r="A13" s="53">
        <v>2</v>
      </c>
      <c r="B13" s="32" t="s">
        <v>59</v>
      </c>
      <c r="C13" s="33"/>
      <c r="D13" s="34" t="s">
        <v>15</v>
      </c>
      <c r="E13" s="34">
        <v>2</v>
      </c>
      <c r="F13" s="31">
        <v>24</v>
      </c>
      <c r="G13" s="35" t="s">
        <v>27</v>
      </c>
      <c r="H13" s="36"/>
      <c r="I13" s="34" t="s">
        <v>15</v>
      </c>
      <c r="J13" s="59">
        <v>2</v>
      </c>
    </row>
    <row r="14" spans="1:14" ht="18" thickBot="1" x14ac:dyDescent="0.45">
      <c r="A14" s="53">
        <v>3</v>
      </c>
      <c r="B14" s="32" t="s">
        <v>18</v>
      </c>
      <c r="C14" s="33"/>
      <c r="D14" s="34" t="s">
        <v>15</v>
      </c>
      <c r="E14" s="34">
        <v>2</v>
      </c>
      <c r="F14" s="31">
        <v>25</v>
      </c>
      <c r="G14" s="35" t="s">
        <v>54</v>
      </c>
      <c r="H14" s="36"/>
      <c r="I14" s="34" t="s">
        <v>15</v>
      </c>
      <c r="J14" s="59">
        <v>2</v>
      </c>
    </row>
    <row r="15" spans="1:14" ht="18" thickBot="1" x14ac:dyDescent="0.45">
      <c r="A15" s="53">
        <v>4</v>
      </c>
      <c r="B15" s="32" t="s">
        <v>21</v>
      </c>
      <c r="C15" s="33"/>
      <c r="D15" s="34" t="s">
        <v>15</v>
      </c>
      <c r="E15" s="34">
        <v>2</v>
      </c>
      <c r="F15" s="31">
        <v>26</v>
      </c>
      <c r="G15" s="35" t="s">
        <v>55</v>
      </c>
      <c r="H15" s="36"/>
      <c r="I15" s="34" t="s">
        <v>15</v>
      </c>
      <c r="J15" s="59">
        <v>2</v>
      </c>
    </row>
    <row r="16" spans="1:14" ht="18" thickBot="1" x14ac:dyDescent="0.45">
      <c r="A16" s="53">
        <v>5</v>
      </c>
      <c r="B16" s="32" t="s">
        <v>60</v>
      </c>
      <c r="C16" s="33"/>
      <c r="D16" s="34" t="s">
        <v>15</v>
      </c>
      <c r="E16" s="34">
        <v>2</v>
      </c>
      <c r="F16" s="31">
        <v>27</v>
      </c>
      <c r="G16" s="35" t="s">
        <v>55</v>
      </c>
      <c r="H16" s="36"/>
      <c r="I16" s="34" t="s">
        <v>15</v>
      </c>
      <c r="J16" s="59">
        <v>2</v>
      </c>
      <c r="L16" t="s">
        <v>0</v>
      </c>
      <c r="M16" t="s">
        <v>46</v>
      </c>
      <c r="N16" t="s">
        <v>6</v>
      </c>
    </row>
    <row r="17" spans="1:14" ht="18" thickBot="1" x14ac:dyDescent="0.45">
      <c r="A17" s="53">
        <v>6</v>
      </c>
      <c r="B17" s="32" t="s">
        <v>61</v>
      </c>
      <c r="C17" s="33"/>
      <c r="D17" s="34" t="s">
        <v>62</v>
      </c>
      <c r="E17" s="34">
        <v>3</v>
      </c>
      <c r="F17" s="31">
        <v>28</v>
      </c>
      <c r="G17" s="35" t="s">
        <v>30</v>
      </c>
      <c r="H17" s="36"/>
      <c r="I17" s="34" t="s">
        <v>15</v>
      </c>
      <c r="J17" s="59">
        <v>2</v>
      </c>
      <c r="K17" t="s">
        <v>47</v>
      </c>
      <c r="L17">
        <f>SUM(E12:E28)</f>
        <v>37</v>
      </c>
      <c r="M17">
        <f>SUM(E12,E17,E19,E22,E26,)</f>
        <v>11</v>
      </c>
      <c r="N17">
        <f>L17-M17</f>
        <v>26</v>
      </c>
    </row>
    <row r="18" spans="1:14" ht="18" thickBot="1" x14ac:dyDescent="0.45">
      <c r="A18" s="53">
        <v>7</v>
      </c>
      <c r="B18" s="32" t="s">
        <v>16</v>
      </c>
      <c r="C18" s="33"/>
      <c r="D18" s="34" t="s">
        <v>15</v>
      </c>
      <c r="E18" s="34">
        <v>2</v>
      </c>
      <c r="F18" s="31">
        <v>29</v>
      </c>
      <c r="G18" s="35" t="s">
        <v>56</v>
      </c>
      <c r="H18" s="36"/>
      <c r="I18" s="40" t="s">
        <v>15</v>
      </c>
      <c r="J18" s="60">
        <v>3</v>
      </c>
      <c r="K18" t="s">
        <v>48</v>
      </c>
      <c r="L18">
        <f>SUM(E29:E33,J12:J34)</f>
        <v>63</v>
      </c>
      <c r="M18">
        <f>SUM(E30,J13,J20,J28:J29,J21:J25,J31,,)</f>
        <v>26</v>
      </c>
      <c r="N18">
        <f>L18-M18</f>
        <v>37</v>
      </c>
    </row>
    <row r="19" spans="1:14" ht="18" thickBot="1" x14ac:dyDescent="0.45">
      <c r="A19" s="53">
        <v>8</v>
      </c>
      <c r="B19" s="32" t="s">
        <v>23</v>
      </c>
      <c r="C19" s="33"/>
      <c r="D19" s="34" t="s">
        <v>15</v>
      </c>
      <c r="E19" s="34">
        <v>2</v>
      </c>
      <c r="F19" s="31">
        <v>30</v>
      </c>
      <c r="G19" s="35" t="s">
        <v>17</v>
      </c>
      <c r="H19" s="36"/>
      <c r="I19" s="34" t="s">
        <v>62</v>
      </c>
      <c r="J19" s="79">
        <v>3</v>
      </c>
      <c r="K19" s="41"/>
    </row>
    <row r="20" spans="1:14" ht="18" thickBot="1" x14ac:dyDescent="0.45">
      <c r="A20" s="53">
        <v>9</v>
      </c>
      <c r="B20" s="32" t="s">
        <v>58</v>
      </c>
      <c r="C20" s="33"/>
      <c r="D20" s="34" t="s">
        <v>15</v>
      </c>
      <c r="E20" s="34">
        <v>2</v>
      </c>
      <c r="F20" s="31">
        <v>31</v>
      </c>
      <c r="G20" s="35" t="s">
        <v>38</v>
      </c>
      <c r="H20" s="36"/>
      <c r="I20" s="34" t="s">
        <v>62</v>
      </c>
      <c r="J20" s="59">
        <v>2</v>
      </c>
      <c r="N20">
        <f>SUM(N17:N18)</f>
        <v>63</v>
      </c>
    </row>
    <row r="21" spans="1:14" ht="18" thickBot="1" x14ac:dyDescent="0.45">
      <c r="A21" s="53">
        <v>10</v>
      </c>
      <c r="B21" s="32" t="s">
        <v>22</v>
      </c>
      <c r="C21" s="33"/>
      <c r="D21" s="34" t="s">
        <v>15</v>
      </c>
      <c r="E21" s="34">
        <v>2</v>
      </c>
      <c r="F21" s="31">
        <v>32</v>
      </c>
      <c r="G21" s="35" t="s">
        <v>38</v>
      </c>
      <c r="H21" s="36"/>
      <c r="I21" s="34" t="s">
        <v>62</v>
      </c>
      <c r="J21" s="59">
        <v>2</v>
      </c>
    </row>
    <row r="22" spans="1:14" ht="18" thickBot="1" x14ac:dyDescent="0.45">
      <c r="A22" s="53">
        <v>11</v>
      </c>
      <c r="B22" s="32" t="s">
        <v>19</v>
      </c>
      <c r="C22" s="33"/>
      <c r="D22" s="34" t="s">
        <v>15</v>
      </c>
      <c r="E22" s="34">
        <v>2</v>
      </c>
      <c r="F22" s="31">
        <v>33</v>
      </c>
      <c r="G22" s="35" t="s">
        <v>38</v>
      </c>
      <c r="H22" s="36"/>
      <c r="I22" s="34" t="s">
        <v>15</v>
      </c>
      <c r="J22" s="59">
        <v>3</v>
      </c>
    </row>
    <row r="23" spans="1:14" ht="18" thickBot="1" x14ac:dyDescent="0.45">
      <c r="A23" s="53">
        <v>12</v>
      </c>
      <c r="B23" s="32" t="s">
        <v>19</v>
      </c>
      <c r="C23" s="33"/>
      <c r="D23" s="34" t="s">
        <v>62</v>
      </c>
      <c r="E23" s="34">
        <v>2</v>
      </c>
      <c r="F23" s="31">
        <v>34</v>
      </c>
      <c r="G23" s="35" t="s">
        <v>38</v>
      </c>
      <c r="H23" s="36"/>
      <c r="I23" s="34" t="s">
        <v>62</v>
      </c>
      <c r="J23" s="59">
        <v>3</v>
      </c>
    </row>
    <row r="24" spans="1:14" ht="18" thickBot="1" x14ac:dyDescent="0.45">
      <c r="A24" s="53">
        <v>13</v>
      </c>
      <c r="B24" s="32" t="s">
        <v>19</v>
      </c>
      <c r="C24" s="33"/>
      <c r="D24" s="34" t="s">
        <v>15</v>
      </c>
      <c r="E24" s="34">
        <v>3</v>
      </c>
      <c r="F24" s="31">
        <v>35</v>
      </c>
      <c r="G24" s="35" t="s">
        <v>29</v>
      </c>
      <c r="H24" s="36"/>
      <c r="I24" s="34" t="s">
        <v>62</v>
      </c>
      <c r="J24" s="59">
        <v>2</v>
      </c>
    </row>
    <row r="25" spans="1:14" ht="18" thickBot="1" x14ac:dyDescent="0.45">
      <c r="A25" s="53">
        <v>14</v>
      </c>
      <c r="B25" s="32" t="s">
        <v>19</v>
      </c>
      <c r="C25" s="33"/>
      <c r="D25" s="34" t="s">
        <v>62</v>
      </c>
      <c r="E25" s="34">
        <v>3</v>
      </c>
      <c r="F25" s="31">
        <v>36</v>
      </c>
      <c r="G25" s="35" t="s">
        <v>41</v>
      </c>
      <c r="H25" s="36"/>
      <c r="I25" s="34" t="s">
        <v>15</v>
      </c>
      <c r="J25" s="59">
        <v>3</v>
      </c>
    </row>
    <row r="26" spans="1:14" ht="18" thickBot="1" x14ac:dyDescent="0.45">
      <c r="A26" s="53">
        <v>15</v>
      </c>
      <c r="B26" s="32" t="s">
        <v>19</v>
      </c>
      <c r="C26" s="33"/>
      <c r="D26" s="34" t="s">
        <v>15</v>
      </c>
      <c r="E26" s="34">
        <v>2</v>
      </c>
      <c r="F26" s="31">
        <v>37</v>
      </c>
      <c r="G26" s="35" t="s">
        <v>41</v>
      </c>
      <c r="H26" s="36"/>
      <c r="I26" s="34" t="s">
        <v>15</v>
      </c>
      <c r="J26" s="59">
        <v>2</v>
      </c>
    </row>
    <row r="27" spans="1:14" ht="18" thickBot="1" x14ac:dyDescent="0.45">
      <c r="A27" s="53">
        <v>16</v>
      </c>
      <c r="B27" s="32" t="s">
        <v>52</v>
      </c>
      <c r="C27" s="33"/>
      <c r="D27" s="34" t="s">
        <v>62</v>
      </c>
      <c r="E27" s="34">
        <v>2</v>
      </c>
      <c r="F27" s="31">
        <v>38</v>
      </c>
      <c r="G27" s="35" t="s">
        <v>28</v>
      </c>
      <c r="H27" s="36"/>
      <c r="I27" s="34" t="s">
        <v>62</v>
      </c>
      <c r="J27" s="59">
        <v>2</v>
      </c>
      <c r="L27" s="14"/>
      <c r="M27" s="13"/>
      <c r="N27" s="13"/>
    </row>
    <row r="28" spans="1:14" ht="18" thickBot="1" x14ac:dyDescent="0.45">
      <c r="A28" s="53">
        <v>17</v>
      </c>
      <c r="B28" s="32" t="s">
        <v>23</v>
      </c>
      <c r="C28" s="33"/>
      <c r="D28" s="34" t="s">
        <v>15</v>
      </c>
      <c r="E28" s="34">
        <v>2</v>
      </c>
      <c r="F28" s="31">
        <v>39</v>
      </c>
      <c r="G28" s="35" t="s">
        <v>28</v>
      </c>
      <c r="H28" s="36"/>
      <c r="I28" s="34" t="s">
        <v>62</v>
      </c>
      <c r="J28" s="59">
        <v>3</v>
      </c>
    </row>
    <row r="29" spans="1:14" ht="18" thickBot="1" x14ac:dyDescent="0.45">
      <c r="A29" s="53">
        <v>18</v>
      </c>
      <c r="B29" s="32" t="s">
        <v>36</v>
      </c>
      <c r="C29" s="33"/>
      <c r="D29" s="34" t="s">
        <v>15</v>
      </c>
      <c r="E29" s="34">
        <v>2</v>
      </c>
      <c r="F29" s="31">
        <v>40</v>
      </c>
      <c r="G29" s="35" t="s">
        <v>42</v>
      </c>
      <c r="H29" s="36"/>
      <c r="I29" s="34" t="s">
        <v>62</v>
      </c>
      <c r="J29" s="59">
        <v>2</v>
      </c>
    </row>
    <row r="30" spans="1:14" ht="18" thickBot="1" x14ac:dyDescent="0.45">
      <c r="A30" s="53">
        <v>19</v>
      </c>
      <c r="B30" s="32" t="s">
        <v>37</v>
      </c>
      <c r="C30" s="33"/>
      <c r="D30" s="34" t="s">
        <v>15</v>
      </c>
      <c r="E30" s="34">
        <v>2</v>
      </c>
      <c r="F30" s="31">
        <v>41</v>
      </c>
      <c r="G30" s="35" t="s">
        <v>57</v>
      </c>
      <c r="H30" s="36"/>
      <c r="I30" s="34" t="s">
        <v>62</v>
      </c>
      <c r="J30" s="59">
        <v>2</v>
      </c>
    </row>
    <row r="31" spans="1:14" ht="18" thickBot="1" x14ac:dyDescent="0.45">
      <c r="A31" s="54">
        <v>20</v>
      </c>
      <c r="B31" s="37" t="s">
        <v>25</v>
      </c>
      <c r="C31" s="38"/>
      <c r="D31" s="39" t="s">
        <v>15</v>
      </c>
      <c r="E31" s="39">
        <v>2</v>
      </c>
      <c r="F31" s="80">
        <v>42</v>
      </c>
      <c r="G31" s="81" t="s">
        <v>43</v>
      </c>
      <c r="H31" s="82"/>
      <c r="I31" s="34" t="s">
        <v>62</v>
      </c>
      <c r="J31" s="83">
        <v>2</v>
      </c>
    </row>
    <row r="32" spans="1:14" ht="18" thickBot="1" x14ac:dyDescent="0.45">
      <c r="A32" s="53">
        <v>21</v>
      </c>
      <c r="B32" s="32" t="s">
        <v>53</v>
      </c>
      <c r="C32" s="33"/>
      <c r="D32" s="34" t="s">
        <v>62</v>
      </c>
      <c r="E32" s="34">
        <v>3</v>
      </c>
      <c r="F32" s="31">
        <v>43</v>
      </c>
      <c r="G32" s="35" t="s">
        <v>33</v>
      </c>
      <c r="H32" s="36"/>
      <c r="I32" s="34" t="s">
        <v>15</v>
      </c>
      <c r="J32" s="59">
        <v>2</v>
      </c>
    </row>
    <row r="33" spans="1:10" ht="18" thickBot="1" x14ac:dyDescent="0.45">
      <c r="A33" s="53">
        <v>22</v>
      </c>
      <c r="B33" s="32" t="s">
        <v>24</v>
      </c>
      <c r="C33" s="33"/>
      <c r="D33" s="34" t="s">
        <v>15</v>
      </c>
      <c r="E33" s="34">
        <v>2</v>
      </c>
      <c r="F33" s="31">
        <v>44</v>
      </c>
      <c r="G33" s="35" t="s">
        <v>34</v>
      </c>
      <c r="H33" s="36"/>
      <c r="I33" s="34" t="s">
        <v>15</v>
      </c>
      <c r="J33" s="59">
        <v>2</v>
      </c>
    </row>
    <row r="34" spans="1:10" ht="16.5" customHeight="1" thickBot="1" x14ac:dyDescent="0.45">
      <c r="D34" s="56"/>
      <c r="E34" s="55"/>
      <c r="F34" s="34">
        <v>45</v>
      </c>
      <c r="G34" s="35" t="s">
        <v>35</v>
      </c>
      <c r="H34" s="36"/>
      <c r="I34" s="34" t="s">
        <v>15</v>
      </c>
      <c r="J34" s="59">
        <v>2</v>
      </c>
    </row>
    <row r="35" spans="1:10" ht="16.5" hidden="1" customHeight="1" x14ac:dyDescent="0.4"/>
    <row r="36" spans="1:10" ht="18" thickBot="1" x14ac:dyDescent="0.45">
      <c r="A36" s="4" t="s">
        <v>8</v>
      </c>
      <c r="B36" s="24"/>
    </row>
    <row r="37" spans="1:10" ht="18" thickBot="1" x14ac:dyDescent="0.45">
      <c r="A37" s="77"/>
      <c r="B37" s="78"/>
      <c r="C37" s="78"/>
      <c r="D37" s="78"/>
      <c r="E37" s="78"/>
      <c r="F37" s="78"/>
      <c r="G37" s="12"/>
      <c r="H37" s="12"/>
      <c r="I37" s="11"/>
      <c r="J37" s="11"/>
    </row>
    <row r="38" spans="1:10" ht="18" thickBot="1" x14ac:dyDescent="0.45">
      <c r="A38" s="78"/>
      <c r="B38" s="78"/>
      <c r="C38" s="78"/>
      <c r="D38" s="78"/>
      <c r="E38" s="78"/>
      <c r="F38" s="78"/>
      <c r="G38" s="12"/>
      <c r="H38" s="12"/>
      <c r="I38" s="11"/>
      <c r="J38" s="11"/>
    </row>
    <row r="39" spans="1:10" ht="18" thickBot="1" x14ac:dyDescent="0.45">
      <c r="A39" s="78"/>
      <c r="B39" s="78"/>
      <c r="C39" s="78"/>
      <c r="D39" s="78"/>
      <c r="E39" s="78"/>
      <c r="F39" s="78"/>
      <c r="G39" s="11"/>
      <c r="H39" s="11"/>
      <c r="I39" s="11"/>
      <c r="J39" s="11"/>
    </row>
    <row r="40" spans="1:10" ht="18" thickBot="1" x14ac:dyDescent="0.45">
      <c r="A40" s="78"/>
      <c r="B40" s="78"/>
      <c r="C40" s="78"/>
      <c r="D40" s="78"/>
      <c r="E40" s="78"/>
      <c r="F40" s="78"/>
      <c r="G40" s="11"/>
      <c r="H40" s="11"/>
      <c r="I40" s="11"/>
      <c r="J40" s="11"/>
    </row>
    <row r="41" spans="1:10" ht="18" thickBot="1" x14ac:dyDescent="0.45">
      <c r="A41" s="78"/>
      <c r="B41" s="78"/>
      <c r="C41" s="78"/>
      <c r="D41" s="78"/>
      <c r="E41" s="78"/>
      <c r="F41" s="78"/>
      <c r="G41" s="11"/>
      <c r="H41" s="11"/>
      <c r="I41" s="11"/>
      <c r="J41" s="11"/>
    </row>
    <row r="42" spans="1:10" ht="18" thickBot="1" x14ac:dyDescent="0.45">
      <c r="A42" s="78"/>
      <c r="B42" s="78"/>
      <c r="C42" s="78"/>
      <c r="D42" s="78"/>
      <c r="E42" s="78"/>
      <c r="F42" s="78"/>
      <c r="G42" s="11"/>
      <c r="H42" s="11"/>
      <c r="I42" s="11"/>
      <c r="J42" s="11"/>
    </row>
    <row r="43" spans="1:10" ht="9" customHeight="1" thickBot="1" x14ac:dyDescent="0.45">
      <c r="A43" s="78"/>
      <c r="B43" s="78"/>
      <c r="C43" s="78"/>
      <c r="D43" s="78"/>
      <c r="E43" s="78"/>
      <c r="F43" s="78"/>
    </row>
    <row r="44" spans="1:10" ht="18" thickBot="1" x14ac:dyDescent="0.45">
      <c r="A44" s="19" t="s">
        <v>49</v>
      </c>
      <c r="B44" s="20"/>
      <c r="C44" s="20"/>
      <c r="D44" s="20"/>
      <c r="E44" s="20"/>
      <c r="F44" s="20"/>
      <c r="G44" s="5"/>
      <c r="H44" s="5"/>
      <c r="I44" s="5"/>
      <c r="J44" s="5"/>
    </row>
    <row r="45" spans="1:10" x14ac:dyDescent="0.4">
      <c r="A45" s="21"/>
      <c r="B45" s="22"/>
      <c r="C45" s="22"/>
      <c r="D45" s="22"/>
      <c r="E45" s="22"/>
      <c r="F45" s="23"/>
      <c r="G45" s="5"/>
      <c r="H45" s="5"/>
      <c r="I45" s="5"/>
      <c r="J45" s="5"/>
    </row>
    <row r="46" spans="1:10" ht="25.5" customHeight="1" x14ac:dyDescent="0.4">
      <c r="A46" s="64">
        <f>N20</f>
        <v>63</v>
      </c>
      <c r="B46" s="65"/>
      <c r="C46" s="68" t="s">
        <v>50</v>
      </c>
      <c r="D46" s="70">
        <f>I8</f>
        <v>0</v>
      </c>
      <c r="E46" s="70"/>
      <c r="F46" s="72" t="s">
        <v>1</v>
      </c>
      <c r="G46" s="5"/>
      <c r="H46" s="5"/>
      <c r="I46" s="5"/>
      <c r="J46" s="5"/>
    </row>
    <row r="47" spans="1:10" ht="18" hidden="1" customHeight="1" thickBot="1" x14ac:dyDescent="0.45">
      <c r="A47" s="64"/>
      <c r="B47" s="65"/>
      <c r="C47" s="68"/>
      <c r="D47" s="70"/>
      <c r="E47" s="70"/>
      <c r="F47" s="72"/>
      <c r="G47" s="5"/>
      <c r="H47" s="5"/>
      <c r="I47" s="5"/>
      <c r="J47" s="5"/>
    </row>
    <row r="48" spans="1:10" ht="8.25" customHeight="1" thickBot="1" x14ac:dyDescent="0.45">
      <c r="A48" s="66"/>
      <c r="B48" s="67"/>
      <c r="C48" s="69"/>
      <c r="D48" s="71"/>
      <c r="E48" s="71"/>
      <c r="F48" s="73"/>
    </row>
    <row r="49" ht="18" thickTop="1" x14ac:dyDescent="0.4"/>
  </sheetData>
  <phoneticPr fontId="1" type="noConversion"/>
  <printOptions horizontalCentered="1"/>
  <pageMargins left="0.70866141732283472" right="0.70866141732283472" top="0.35433070866141736" bottom="0.27559055118110237" header="0.31496062992125984" footer="0.31496062992125984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79B3-327B-4B9C-B732-40FCDBA42C7E}">
  <dimension ref="A1:N49"/>
  <sheetViews>
    <sheetView view="pageLayout" zoomScaleNormal="100" workbookViewId="0">
      <selection activeCell="I4" sqref="I4"/>
    </sheetView>
  </sheetViews>
  <sheetFormatPr defaultRowHeight="17.399999999999999" x14ac:dyDescent="0.4"/>
  <cols>
    <col min="3" max="3" width="8.3984375" customWidth="1"/>
    <col min="4" max="4" width="7" customWidth="1"/>
    <col min="5" max="5" width="4.59765625" customWidth="1"/>
    <col min="8" max="8" width="8" customWidth="1"/>
    <col min="9" max="9" width="7.09765625" customWidth="1"/>
    <col min="10" max="10" width="4.59765625" customWidth="1"/>
  </cols>
  <sheetData>
    <row r="1" spans="1:14" ht="18" customHeight="1" thickTop="1" x14ac:dyDescent="0.4">
      <c r="A1" s="61" t="s">
        <v>64</v>
      </c>
      <c r="B1" s="61"/>
      <c r="C1" s="61"/>
      <c r="D1" s="61"/>
      <c r="E1" s="61"/>
      <c r="F1" s="61"/>
      <c r="G1" s="61"/>
      <c r="H1" s="61"/>
      <c r="I1" s="61"/>
      <c r="J1" s="61"/>
    </row>
    <row r="2" spans="1:14" ht="18" customHeight="1" thickBot="1" x14ac:dyDescent="0.45">
      <c r="A2" s="62"/>
      <c r="B2" s="62"/>
      <c r="C2" s="62"/>
      <c r="D2" s="62"/>
      <c r="E2" s="62"/>
      <c r="F2" s="62"/>
      <c r="G2" s="62"/>
      <c r="H2" s="62"/>
      <c r="I2" s="62"/>
      <c r="J2" s="62"/>
    </row>
    <row r="3" spans="1:14" ht="10.5" customHeight="1" thickTop="1" x14ac:dyDescent="0.4"/>
    <row r="4" spans="1:14" x14ac:dyDescent="0.4">
      <c r="A4" s="6" t="s">
        <v>3</v>
      </c>
      <c r="B4" s="74" t="s">
        <v>63</v>
      </c>
      <c r="C4" s="75"/>
      <c r="D4" s="1"/>
      <c r="E4" s="1"/>
      <c r="F4" s="1"/>
      <c r="G4" s="1"/>
      <c r="H4" s="6" t="s">
        <v>2</v>
      </c>
      <c r="I4" s="74" t="s">
        <v>65</v>
      </c>
      <c r="J4" s="75"/>
    </row>
    <row r="5" spans="1:14" ht="8.25" customHeight="1" thickBot="1" x14ac:dyDescent="0.45"/>
    <row r="6" spans="1:14" x14ac:dyDescent="0.4">
      <c r="A6" s="7"/>
      <c r="B6" s="7" t="s">
        <v>12</v>
      </c>
      <c r="C6" s="8" t="s">
        <v>13</v>
      </c>
      <c r="D6" s="8"/>
      <c r="E6" s="7" t="s">
        <v>14</v>
      </c>
      <c r="F6" s="7"/>
      <c r="G6" s="8" t="s">
        <v>13</v>
      </c>
      <c r="H6" s="16" t="s">
        <v>0</v>
      </c>
      <c r="I6" s="16" t="s">
        <v>1</v>
      </c>
      <c r="J6" s="7"/>
    </row>
    <row r="7" spans="1:14" x14ac:dyDescent="0.4">
      <c r="A7" s="1" t="s">
        <v>4</v>
      </c>
      <c r="B7" s="1">
        <v>37</v>
      </c>
      <c r="C7" s="63">
        <v>1</v>
      </c>
      <c r="D7" s="63"/>
      <c r="E7" s="76">
        <v>63</v>
      </c>
      <c r="F7" s="76"/>
      <c r="G7" s="3">
        <v>1</v>
      </c>
      <c r="H7" s="1" t="s">
        <v>5</v>
      </c>
      <c r="I7" s="2"/>
      <c r="J7" s="2"/>
    </row>
    <row r="8" spans="1:14" ht="18" thickBot="1" x14ac:dyDescent="0.45">
      <c r="A8" s="9" t="s">
        <v>6</v>
      </c>
      <c r="B8" s="15">
        <f>N17</f>
        <v>26</v>
      </c>
      <c r="C8" s="10">
        <f>B8/37*100</f>
        <v>70.270270270270274</v>
      </c>
      <c r="D8" s="10"/>
      <c r="E8" s="15">
        <f>N18</f>
        <v>37</v>
      </c>
      <c r="F8" s="15"/>
      <c r="G8" s="10">
        <f>E8/63*100</f>
        <v>58.730158730158735</v>
      </c>
      <c r="H8" s="18">
        <f>SUM(B8,E8)</f>
        <v>63</v>
      </c>
      <c r="I8" s="17"/>
      <c r="J8" s="9"/>
    </row>
    <row r="9" spans="1:14" ht="11.25" customHeight="1" x14ac:dyDescent="0.4"/>
    <row r="10" spans="1:14" ht="18" thickBot="1" x14ac:dyDescent="0.45">
      <c r="A10" s="25" t="s">
        <v>7</v>
      </c>
      <c r="B10" s="25"/>
      <c r="C10" s="26"/>
      <c r="J10" s="26"/>
    </row>
    <row r="11" spans="1:14" ht="18" thickBot="1" x14ac:dyDescent="0.45">
      <c r="A11" s="51" t="s">
        <v>9</v>
      </c>
      <c r="B11" s="48" t="s">
        <v>10</v>
      </c>
      <c r="C11" s="44"/>
      <c r="D11" s="47" t="s">
        <v>11</v>
      </c>
      <c r="E11" s="43" t="s">
        <v>31</v>
      </c>
      <c r="F11" s="45" t="s">
        <v>9</v>
      </c>
      <c r="G11" s="49" t="s">
        <v>10</v>
      </c>
      <c r="H11" s="44"/>
      <c r="I11" s="43" t="s">
        <v>11</v>
      </c>
      <c r="J11" s="57" t="s">
        <v>31</v>
      </c>
    </row>
    <row r="12" spans="1:14" ht="18" thickBot="1" x14ac:dyDescent="0.45">
      <c r="A12" s="52">
        <v>1</v>
      </c>
      <c r="B12" s="27" t="s">
        <v>20</v>
      </c>
      <c r="C12" s="28"/>
      <c r="D12" s="29" t="s">
        <v>15</v>
      </c>
      <c r="E12" s="42">
        <v>2</v>
      </c>
      <c r="F12" s="46">
        <v>23</v>
      </c>
      <c r="G12" s="50" t="s">
        <v>26</v>
      </c>
      <c r="H12" s="30"/>
      <c r="I12" s="42" t="s">
        <v>15</v>
      </c>
      <c r="J12" s="58">
        <v>2</v>
      </c>
    </row>
    <row r="13" spans="1:14" ht="18" thickBot="1" x14ac:dyDescent="0.45">
      <c r="A13" s="53">
        <v>2</v>
      </c>
      <c r="B13" s="32" t="s">
        <v>59</v>
      </c>
      <c r="C13" s="33"/>
      <c r="D13" s="34" t="s">
        <v>15</v>
      </c>
      <c r="E13" s="34">
        <v>2</v>
      </c>
      <c r="F13" s="31">
        <v>24</v>
      </c>
      <c r="G13" s="35" t="s">
        <v>27</v>
      </c>
      <c r="H13" s="36"/>
      <c r="I13" s="34" t="s">
        <v>15</v>
      </c>
      <c r="J13" s="59">
        <v>2</v>
      </c>
    </row>
    <row r="14" spans="1:14" ht="18" thickBot="1" x14ac:dyDescent="0.45">
      <c r="A14" s="53">
        <v>3</v>
      </c>
      <c r="B14" s="32" t="s">
        <v>18</v>
      </c>
      <c r="C14" s="33"/>
      <c r="D14" s="34" t="s">
        <v>15</v>
      </c>
      <c r="E14" s="34">
        <v>2</v>
      </c>
      <c r="F14" s="31">
        <v>25</v>
      </c>
      <c r="G14" s="35" t="s">
        <v>54</v>
      </c>
      <c r="H14" s="36"/>
      <c r="I14" s="34" t="s">
        <v>15</v>
      </c>
      <c r="J14" s="59">
        <v>2</v>
      </c>
    </row>
    <row r="15" spans="1:14" ht="18" thickBot="1" x14ac:dyDescent="0.45">
      <c r="A15" s="53">
        <v>4</v>
      </c>
      <c r="B15" s="32" t="s">
        <v>21</v>
      </c>
      <c r="C15" s="33"/>
      <c r="D15" s="34" t="s">
        <v>15</v>
      </c>
      <c r="E15" s="34">
        <v>2</v>
      </c>
      <c r="F15" s="31">
        <v>26</v>
      </c>
      <c r="G15" s="35" t="s">
        <v>55</v>
      </c>
      <c r="H15" s="36"/>
      <c r="I15" s="34" t="s">
        <v>15</v>
      </c>
      <c r="J15" s="59">
        <v>2</v>
      </c>
    </row>
    <row r="16" spans="1:14" ht="18" thickBot="1" x14ac:dyDescent="0.45">
      <c r="A16" s="53">
        <v>5</v>
      </c>
      <c r="B16" s="32" t="s">
        <v>60</v>
      </c>
      <c r="C16" s="33"/>
      <c r="D16" s="34" t="s">
        <v>15</v>
      </c>
      <c r="E16" s="34">
        <v>2</v>
      </c>
      <c r="F16" s="31">
        <v>27</v>
      </c>
      <c r="G16" s="35" t="s">
        <v>55</v>
      </c>
      <c r="H16" s="36"/>
      <c r="I16" s="34" t="s">
        <v>15</v>
      </c>
      <c r="J16" s="59">
        <v>2</v>
      </c>
      <c r="L16" t="s">
        <v>0</v>
      </c>
      <c r="M16" t="s">
        <v>46</v>
      </c>
      <c r="N16" t="s">
        <v>6</v>
      </c>
    </row>
    <row r="17" spans="1:14" ht="18" thickBot="1" x14ac:dyDescent="0.45">
      <c r="A17" s="53">
        <v>6</v>
      </c>
      <c r="B17" s="32" t="s">
        <v>61</v>
      </c>
      <c r="C17" s="33"/>
      <c r="D17" s="34" t="s">
        <v>62</v>
      </c>
      <c r="E17" s="34">
        <v>3</v>
      </c>
      <c r="F17" s="31">
        <v>28</v>
      </c>
      <c r="G17" s="35" t="s">
        <v>30</v>
      </c>
      <c r="H17" s="36"/>
      <c r="I17" s="34" t="s">
        <v>15</v>
      </c>
      <c r="J17" s="59">
        <v>2</v>
      </c>
      <c r="K17" t="s">
        <v>47</v>
      </c>
      <c r="L17">
        <f>SUM(E12:E28)</f>
        <v>37</v>
      </c>
      <c r="M17">
        <f>SUM(E12,E17,E19,E22,E26,)</f>
        <v>11</v>
      </c>
      <c r="N17">
        <f>L17-M17</f>
        <v>26</v>
      </c>
    </row>
    <row r="18" spans="1:14" ht="18" thickBot="1" x14ac:dyDescent="0.45">
      <c r="A18" s="53">
        <v>7</v>
      </c>
      <c r="B18" s="32" t="s">
        <v>16</v>
      </c>
      <c r="C18" s="33"/>
      <c r="D18" s="34" t="s">
        <v>15</v>
      </c>
      <c r="E18" s="34">
        <v>2</v>
      </c>
      <c r="F18" s="31">
        <v>29</v>
      </c>
      <c r="G18" s="35" t="s">
        <v>56</v>
      </c>
      <c r="H18" s="36"/>
      <c r="I18" s="40" t="s">
        <v>15</v>
      </c>
      <c r="J18" s="60">
        <v>3</v>
      </c>
      <c r="K18" t="s">
        <v>48</v>
      </c>
      <c r="L18">
        <f>SUM(E29:E33,J12:J34)</f>
        <v>63</v>
      </c>
      <c r="M18">
        <f>SUM(E30,J13,J20,J28:J29,J21:J25,J31,,)</f>
        <v>26</v>
      </c>
      <c r="N18">
        <f>L18-M18</f>
        <v>37</v>
      </c>
    </row>
    <row r="19" spans="1:14" ht="18" thickBot="1" x14ac:dyDescent="0.45">
      <c r="A19" s="53">
        <v>8</v>
      </c>
      <c r="B19" s="32" t="s">
        <v>23</v>
      </c>
      <c r="C19" s="33"/>
      <c r="D19" s="34" t="s">
        <v>15</v>
      </c>
      <c r="E19" s="34">
        <v>2</v>
      </c>
      <c r="F19" s="31">
        <v>30</v>
      </c>
      <c r="G19" s="35" t="s">
        <v>17</v>
      </c>
      <c r="H19" s="36"/>
      <c r="I19" s="34" t="s">
        <v>62</v>
      </c>
      <c r="J19" s="79">
        <v>3</v>
      </c>
      <c r="K19" s="41"/>
    </row>
    <row r="20" spans="1:14" ht="18" thickBot="1" x14ac:dyDescent="0.45">
      <c r="A20" s="53">
        <v>9</v>
      </c>
      <c r="B20" s="32" t="s">
        <v>58</v>
      </c>
      <c r="C20" s="33"/>
      <c r="D20" s="34" t="s">
        <v>15</v>
      </c>
      <c r="E20" s="34">
        <v>2</v>
      </c>
      <c r="F20" s="31">
        <v>31</v>
      </c>
      <c r="G20" s="35" t="s">
        <v>38</v>
      </c>
      <c r="H20" s="36"/>
      <c r="I20" s="34" t="s">
        <v>62</v>
      </c>
      <c r="J20" s="59">
        <v>2</v>
      </c>
      <c r="N20">
        <f>SUM(N17:N18)</f>
        <v>63</v>
      </c>
    </row>
    <row r="21" spans="1:14" ht="18" thickBot="1" x14ac:dyDescent="0.45">
      <c r="A21" s="53">
        <v>10</v>
      </c>
      <c r="B21" s="32" t="s">
        <v>22</v>
      </c>
      <c r="C21" s="33"/>
      <c r="D21" s="34" t="s">
        <v>15</v>
      </c>
      <c r="E21" s="34">
        <v>2</v>
      </c>
      <c r="F21" s="31">
        <v>32</v>
      </c>
      <c r="G21" s="35" t="s">
        <v>38</v>
      </c>
      <c r="H21" s="36"/>
      <c r="I21" s="34" t="s">
        <v>62</v>
      </c>
      <c r="J21" s="59">
        <v>2</v>
      </c>
    </row>
    <row r="22" spans="1:14" ht="18" thickBot="1" x14ac:dyDescent="0.45">
      <c r="A22" s="53">
        <v>11</v>
      </c>
      <c r="B22" s="32" t="s">
        <v>19</v>
      </c>
      <c r="C22" s="33"/>
      <c r="D22" s="34" t="s">
        <v>15</v>
      </c>
      <c r="E22" s="34">
        <v>2</v>
      </c>
      <c r="F22" s="31">
        <v>33</v>
      </c>
      <c r="G22" s="35" t="s">
        <v>38</v>
      </c>
      <c r="H22" s="36"/>
      <c r="I22" s="34" t="s">
        <v>15</v>
      </c>
      <c r="J22" s="59">
        <v>3</v>
      </c>
    </row>
    <row r="23" spans="1:14" ht="18" thickBot="1" x14ac:dyDescent="0.45">
      <c r="A23" s="53">
        <v>12</v>
      </c>
      <c r="B23" s="32" t="s">
        <v>19</v>
      </c>
      <c r="C23" s="33"/>
      <c r="D23" s="34" t="s">
        <v>62</v>
      </c>
      <c r="E23" s="34">
        <v>2</v>
      </c>
      <c r="F23" s="31">
        <v>34</v>
      </c>
      <c r="G23" s="35" t="s">
        <v>38</v>
      </c>
      <c r="H23" s="36"/>
      <c r="I23" s="34" t="s">
        <v>62</v>
      </c>
      <c r="J23" s="59">
        <v>3</v>
      </c>
    </row>
    <row r="24" spans="1:14" ht="18" thickBot="1" x14ac:dyDescent="0.45">
      <c r="A24" s="53">
        <v>13</v>
      </c>
      <c r="B24" s="32" t="s">
        <v>19</v>
      </c>
      <c r="C24" s="33"/>
      <c r="D24" s="34" t="s">
        <v>15</v>
      </c>
      <c r="E24" s="34">
        <v>3</v>
      </c>
      <c r="F24" s="31">
        <v>35</v>
      </c>
      <c r="G24" s="35" t="s">
        <v>29</v>
      </c>
      <c r="H24" s="36"/>
      <c r="I24" s="34" t="s">
        <v>62</v>
      </c>
      <c r="J24" s="59">
        <v>2</v>
      </c>
    </row>
    <row r="25" spans="1:14" ht="18" thickBot="1" x14ac:dyDescent="0.45">
      <c r="A25" s="53">
        <v>14</v>
      </c>
      <c r="B25" s="32" t="s">
        <v>19</v>
      </c>
      <c r="C25" s="33"/>
      <c r="D25" s="34" t="s">
        <v>62</v>
      </c>
      <c r="E25" s="34">
        <v>3</v>
      </c>
      <c r="F25" s="31">
        <v>36</v>
      </c>
      <c r="G25" s="35" t="s">
        <v>41</v>
      </c>
      <c r="H25" s="36"/>
      <c r="I25" s="34" t="s">
        <v>15</v>
      </c>
      <c r="J25" s="59">
        <v>3</v>
      </c>
    </row>
    <row r="26" spans="1:14" ht="18" thickBot="1" x14ac:dyDescent="0.45">
      <c r="A26" s="53">
        <v>15</v>
      </c>
      <c r="B26" s="32" t="s">
        <v>19</v>
      </c>
      <c r="C26" s="33"/>
      <c r="D26" s="34" t="s">
        <v>15</v>
      </c>
      <c r="E26" s="34">
        <v>2</v>
      </c>
      <c r="F26" s="31">
        <v>37</v>
      </c>
      <c r="G26" s="35" t="s">
        <v>41</v>
      </c>
      <c r="H26" s="36"/>
      <c r="I26" s="34" t="s">
        <v>15</v>
      </c>
      <c r="J26" s="59">
        <v>2</v>
      </c>
    </row>
    <row r="27" spans="1:14" ht="18" thickBot="1" x14ac:dyDescent="0.45">
      <c r="A27" s="53">
        <v>16</v>
      </c>
      <c r="B27" s="32" t="s">
        <v>52</v>
      </c>
      <c r="C27" s="33"/>
      <c r="D27" s="34" t="s">
        <v>62</v>
      </c>
      <c r="E27" s="34">
        <v>2</v>
      </c>
      <c r="F27" s="31">
        <v>38</v>
      </c>
      <c r="G27" s="35" t="s">
        <v>28</v>
      </c>
      <c r="H27" s="36"/>
      <c r="I27" s="34" t="s">
        <v>62</v>
      </c>
      <c r="J27" s="59">
        <v>2</v>
      </c>
      <c r="L27" s="14"/>
      <c r="M27" s="13"/>
      <c r="N27" s="13"/>
    </row>
    <row r="28" spans="1:14" ht="18" thickBot="1" x14ac:dyDescent="0.45">
      <c r="A28" s="53">
        <v>17</v>
      </c>
      <c r="B28" s="32" t="s">
        <v>23</v>
      </c>
      <c r="C28" s="33"/>
      <c r="D28" s="34" t="s">
        <v>15</v>
      </c>
      <c r="E28" s="34">
        <v>2</v>
      </c>
      <c r="F28" s="31">
        <v>39</v>
      </c>
      <c r="G28" s="35" t="s">
        <v>28</v>
      </c>
      <c r="H28" s="36"/>
      <c r="I28" s="34" t="s">
        <v>62</v>
      </c>
      <c r="J28" s="59">
        <v>3</v>
      </c>
    </row>
    <row r="29" spans="1:14" ht="18" thickBot="1" x14ac:dyDescent="0.45">
      <c r="A29" s="53">
        <v>18</v>
      </c>
      <c r="B29" s="32" t="s">
        <v>36</v>
      </c>
      <c r="C29" s="33"/>
      <c r="D29" s="34" t="s">
        <v>15</v>
      </c>
      <c r="E29" s="34">
        <v>2</v>
      </c>
      <c r="F29" s="31">
        <v>40</v>
      </c>
      <c r="G29" s="35" t="s">
        <v>42</v>
      </c>
      <c r="H29" s="36"/>
      <c r="I29" s="34" t="s">
        <v>62</v>
      </c>
      <c r="J29" s="59">
        <v>2</v>
      </c>
    </row>
    <row r="30" spans="1:14" ht="18" thickBot="1" x14ac:dyDescent="0.45">
      <c r="A30" s="53">
        <v>19</v>
      </c>
      <c r="B30" s="32" t="s">
        <v>37</v>
      </c>
      <c r="C30" s="33"/>
      <c r="D30" s="34" t="s">
        <v>15</v>
      </c>
      <c r="E30" s="34">
        <v>2</v>
      </c>
      <c r="F30" s="31">
        <v>41</v>
      </c>
      <c r="G30" s="35" t="s">
        <v>57</v>
      </c>
      <c r="H30" s="36"/>
      <c r="I30" s="34" t="s">
        <v>62</v>
      </c>
      <c r="J30" s="59">
        <v>2</v>
      </c>
    </row>
    <row r="31" spans="1:14" ht="18" thickBot="1" x14ac:dyDescent="0.45">
      <c r="A31" s="54">
        <v>20</v>
      </c>
      <c r="B31" s="37" t="s">
        <v>25</v>
      </c>
      <c r="C31" s="38"/>
      <c r="D31" s="39" t="s">
        <v>15</v>
      </c>
      <c r="E31" s="39">
        <v>2</v>
      </c>
      <c r="F31" s="80">
        <v>42</v>
      </c>
      <c r="G31" s="81" t="s">
        <v>43</v>
      </c>
      <c r="H31" s="82"/>
      <c r="I31" s="34" t="s">
        <v>62</v>
      </c>
      <c r="J31" s="83">
        <v>2</v>
      </c>
    </row>
    <row r="32" spans="1:14" ht="18" thickBot="1" x14ac:dyDescent="0.45">
      <c r="A32" s="53">
        <v>21</v>
      </c>
      <c r="B32" s="32" t="s">
        <v>53</v>
      </c>
      <c r="C32" s="33"/>
      <c r="D32" s="34" t="s">
        <v>62</v>
      </c>
      <c r="E32" s="34">
        <v>3</v>
      </c>
      <c r="F32" s="31">
        <v>43</v>
      </c>
      <c r="G32" s="35" t="s">
        <v>33</v>
      </c>
      <c r="H32" s="36"/>
      <c r="I32" s="34" t="s">
        <v>15</v>
      </c>
      <c r="J32" s="59">
        <v>2</v>
      </c>
    </row>
    <row r="33" spans="1:10" ht="18" thickBot="1" x14ac:dyDescent="0.45">
      <c r="A33" s="53">
        <v>22</v>
      </c>
      <c r="B33" s="32" t="s">
        <v>24</v>
      </c>
      <c r="C33" s="33"/>
      <c r="D33" s="34" t="s">
        <v>15</v>
      </c>
      <c r="E33" s="34">
        <v>2</v>
      </c>
      <c r="F33" s="31">
        <v>44</v>
      </c>
      <c r="G33" s="35" t="s">
        <v>34</v>
      </c>
      <c r="H33" s="36"/>
      <c r="I33" s="34" t="s">
        <v>15</v>
      </c>
      <c r="J33" s="59">
        <v>2</v>
      </c>
    </row>
    <row r="34" spans="1:10" ht="16.5" customHeight="1" thickBot="1" x14ac:dyDescent="0.45">
      <c r="D34" s="56"/>
      <c r="E34" s="55"/>
      <c r="F34" s="34">
        <v>45</v>
      </c>
      <c r="G34" s="35" t="s">
        <v>35</v>
      </c>
      <c r="H34" s="36"/>
      <c r="I34" s="34" t="s">
        <v>15</v>
      </c>
      <c r="J34" s="59">
        <v>2</v>
      </c>
    </row>
    <row r="35" spans="1:10" ht="16.5" hidden="1" customHeight="1" x14ac:dyDescent="0.4"/>
    <row r="36" spans="1:10" ht="18" thickBot="1" x14ac:dyDescent="0.45">
      <c r="A36" s="4" t="s">
        <v>8</v>
      </c>
      <c r="B36" s="24"/>
    </row>
    <row r="37" spans="1:10" ht="18" thickBot="1" x14ac:dyDescent="0.45">
      <c r="A37" s="77"/>
      <c r="B37" s="78"/>
      <c r="C37" s="78"/>
      <c r="D37" s="78"/>
      <c r="E37" s="78"/>
      <c r="F37" s="78"/>
      <c r="G37" s="12"/>
      <c r="H37" s="12"/>
      <c r="I37" s="11"/>
      <c r="J37" s="11"/>
    </row>
    <row r="38" spans="1:10" ht="18" thickBot="1" x14ac:dyDescent="0.45">
      <c r="A38" s="78"/>
      <c r="B38" s="78"/>
      <c r="C38" s="78"/>
      <c r="D38" s="78"/>
      <c r="E38" s="78"/>
      <c r="F38" s="78"/>
      <c r="G38" s="12"/>
      <c r="H38" s="12"/>
      <c r="I38" s="11"/>
      <c r="J38" s="11"/>
    </row>
    <row r="39" spans="1:10" ht="18" thickBot="1" x14ac:dyDescent="0.45">
      <c r="A39" s="78"/>
      <c r="B39" s="78"/>
      <c r="C39" s="78"/>
      <c r="D39" s="78"/>
      <c r="E39" s="78"/>
      <c r="F39" s="78"/>
      <c r="G39" s="11"/>
      <c r="H39" s="11"/>
      <c r="I39" s="11"/>
      <c r="J39" s="11"/>
    </row>
    <row r="40" spans="1:10" ht="18" thickBot="1" x14ac:dyDescent="0.45">
      <c r="A40" s="78"/>
      <c r="B40" s="78"/>
      <c r="C40" s="78"/>
      <c r="D40" s="78"/>
      <c r="E40" s="78"/>
      <c r="F40" s="78"/>
      <c r="G40" s="11"/>
      <c r="H40" s="11"/>
      <c r="I40" s="11"/>
      <c r="J40" s="11"/>
    </row>
    <row r="41" spans="1:10" ht="18" thickBot="1" x14ac:dyDescent="0.45">
      <c r="A41" s="78"/>
      <c r="B41" s="78"/>
      <c r="C41" s="78"/>
      <c r="D41" s="78"/>
      <c r="E41" s="78"/>
      <c r="F41" s="78"/>
      <c r="G41" s="11"/>
      <c r="H41" s="11"/>
      <c r="I41" s="11"/>
      <c r="J41" s="11"/>
    </row>
    <row r="42" spans="1:10" ht="18" thickBot="1" x14ac:dyDescent="0.45">
      <c r="A42" s="78"/>
      <c r="B42" s="78"/>
      <c r="C42" s="78"/>
      <c r="D42" s="78"/>
      <c r="E42" s="78"/>
      <c r="F42" s="78"/>
      <c r="G42" s="11"/>
      <c r="H42" s="11"/>
      <c r="I42" s="11"/>
      <c r="J42" s="11"/>
    </row>
    <row r="43" spans="1:10" ht="9" customHeight="1" thickBot="1" x14ac:dyDescent="0.45">
      <c r="A43" s="78"/>
      <c r="B43" s="78"/>
      <c r="C43" s="78"/>
      <c r="D43" s="78"/>
      <c r="E43" s="78"/>
      <c r="F43" s="78"/>
    </row>
    <row r="44" spans="1:10" ht="18" thickBot="1" x14ac:dyDescent="0.45">
      <c r="A44" s="19" t="s">
        <v>49</v>
      </c>
      <c r="B44" s="20"/>
      <c r="C44" s="20"/>
      <c r="D44" s="20"/>
      <c r="E44" s="20"/>
      <c r="F44" s="20"/>
      <c r="G44" s="5"/>
      <c r="H44" s="5"/>
      <c r="I44" s="5"/>
      <c r="J44" s="5"/>
    </row>
    <row r="45" spans="1:10" x14ac:dyDescent="0.4">
      <c r="A45" s="21"/>
      <c r="B45" s="22"/>
      <c r="C45" s="22"/>
      <c r="D45" s="22"/>
      <c r="E45" s="22"/>
      <c r="F45" s="23"/>
      <c r="G45" s="5"/>
      <c r="H45" s="5"/>
      <c r="I45" s="5"/>
      <c r="J45" s="5"/>
    </row>
    <row r="46" spans="1:10" ht="25.5" customHeight="1" x14ac:dyDescent="0.4">
      <c r="A46" s="64">
        <f>N20</f>
        <v>63</v>
      </c>
      <c r="B46" s="65"/>
      <c r="C46" s="68" t="s">
        <v>50</v>
      </c>
      <c r="D46" s="70">
        <f>I8</f>
        <v>0</v>
      </c>
      <c r="E46" s="70"/>
      <c r="F46" s="72" t="s">
        <v>1</v>
      </c>
      <c r="G46" s="5"/>
      <c r="H46" s="5"/>
      <c r="I46" s="5"/>
      <c r="J46" s="5"/>
    </row>
    <row r="47" spans="1:10" ht="18" hidden="1" customHeight="1" thickBot="1" x14ac:dyDescent="0.45">
      <c r="A47" s="64"/>
      <c r="B47" s="65"/>
      <c r="C47" s="68"/>
      <c r="D47" s="70"/>
      <c r="E47" s="70"/>
      <c r="F47" s="72"/>
      <c r="G47" s="5"/>
      <c r="H47" s="5"/>
      <c r="I47" s="5"/>
      <c r="J47" s="5"/>
    </row>
    <row r="48" spans="1:10" ht="8.25" customHeight="1" thickBot="1" x14ac:dyDescent="0.45">
      <c r="A48" s="66"/>
      <c r="B48" s="67"/>
      <c r="C48" s="69"/>
      <c r="D48" s="71"/>
      <c r="E48" s="71"/>
      <c r="F48" s="73"/>
    </row>
    <row r="49" ht="18" thickTop="1" x14ac:dyDescent="0.4"/>
  </sheetData>
  <phoneticPr fontId="1" type="noConversion"/>
  <printOptions horizontalCentered="1"/>
  <pageMargins left="0.70866141732283472" right="0.70866141732283472" top="0.35433070866141736" bottom="0.27559055118110237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한서연</vt:lpstr>
      <vt:lpstr>두서연</vt:lpstr>
      <vt:lpstr>세서연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한서연</cp:lastModifiedBy>
  <cp:lastPrinted>2019-08-20T02:07:38Z</cp:lastPrinted>
  <dcterms:created xsi:type="dcterms:W3CDTF">2012-12-08T07:52:20Z</dcterms:created>
  <dcterms:modified xsi:type="dcterms:W3CDTF">2025-06-06T02:42:48Z</dcterms:modified>
</cp:coreProperties>
</file>